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دليل الاستخدام" sheetId="1" r:id="rId5"/>
    <sheet state="visible" name="لوحة التحكم" sheetId="2" r:id="rId6"/>
    <sheet state="visible" name="بناء العرض الضارب" sheetId="3" r:id="rId7"/>
    <sheet state="visible" name="توليد العملاء المحتملين" sheetId="4" r:id="rId8"/>
    <sheet state="visible" name="Leads CRM&#10;&#10;" sheetId="5" r:id="rId9"/>
    <sheet state="visible" name="قمع المبيعات" sheetId="6" r:id="rId10"/>
    <sheet state="visible" name="تسلسل الرسائل" sheetId="7" r:id="rId11"/>
    <sheet state="visible" name="إعدادات الأتمتة" sheetId="8" r:id="rId12"/>
    <sheet state="visible" name="متابعة الأداء" sheetId="9" r:id="rId13"/>
  </sheets>
  <definedNames/>
  <calcPr/>
</workbook>
</file>

<file path=xl/sharedStrings.xml><?xml version="1.0" encoding="utf-8"?>
<sst xmlns="http://schemas.openxmlformats.org/spreadsheetml/2006/main" count="1274" uniqueCount="998">
  <si>
    <t>📘 دليل الاستخدام الكامل — نظام Hormozi للتسويق الأوتوماتيكي</t>
  </si>
  <si>
    <t>تأليف النظام: جاسم محمد  |  كل لوحة = خطوة في رحلة تحويل المتابع إلى عميل يدفع تلقائياً</t>
  </si>
  <si>
    <t>🗂️ فهرس النظام — 7 لوحات تعمل معاً تلقائياً</t>
  </si>
  <si>
    <t>رقم</t>
  </si>
  <si>
    <t>اسم اللوحة</t>
  </si>
  <si>
    <t>دورها في النظام</t>
  </si>
  <si>
    <t>متى تفتحها؟</t>
  </si>
  <si>
    <t>ما تكتب فيها؟</t>
  </si>
  <si>
    <t>🏠 لوحة التحكم</t>
  </si>
  <si>
    <t>داشبورد يعرض جميع مؤشرات الأداء دفعة واحدة</t>
  </si>
  <si>
    <t>يومياً — أول شيء بالصباح</t>
  </si>
  <si>
    <t>لا شيء — تتحدّث تلقائياً</t>
  </si>
  <si>
    <t>💰 بناء العرض الضارب</t>
  </si>
  <si>
    <t>تصميم عرضك حتى يشعر العميل بالغباء إذا رفض</t>
  </si>
  <si>
    <t>مرة واحدة — ثم تحديث كل دفعة</t>
  </si>
  <si>
    <t>اسم منتجك + سعره + ضمانك</t>
  </si>
  <si>
    <t>🧲 توليد العملاء</t>
  </si>
  <si>
    <t>كيف تجذب عملاء محتملين بالطرق الأربعة</t>
  </si>
  <si>
    <t>أسبوعياً</t>
  </si>
  <si>
    <t>نوع Lead Magnet الذي ستستخدمه</t>
  </si>
  <si>
    <t>📉 قمع المبيعات</t>
  </si>
  <si>
    <t>رحلة العميل من الوعي حتى الشراء وما بعده</t>
  </si>
  <si>
    <t>مستمر — مرجع دائم</t>
  </si>
  <si>
    <t>لا شيء — مرجعية ثابتة</t>
  </si>
  <si>
    <t>✉️ تسلسل الرسائل</t>
  </si>
  <si>
    <t>ManyChat + بريد + WhatsApp تعمل 24/7</t>
  </si>
  <si>
    <t>مرة واحدة ثم تشتغل أوتوماتيكياً</t>
  </si>
  <si>
    <t>نصوص الرسائل بنبرتك</t>
  </si>
  <si>
    <t>⚙️ إعدادات الأتمتة</t>
  </si>
  <si>
    <t>ManyChat + Zapier تربط كل المنصات ببعضها</t>
  </si>
  <si>
    <t>مرة واحدة — تشغيل مستمر</t>
  </si>
  <si>
    <t>حسابات ManyChat + Zapier + بريد</t>
  </si>
  <si>
    <t>📈 متابعة الأداء</t>
  </si>
  <si>
    <t>قياس النتائج وتحديث الأهداف</t>
  </si>
  <si>
    <t>أسبوعياً / شهرياً</t>
  </si>
  <si>
    <t>الهدف والنتيجة الفعلية فقط</t>
  </si>
  <si>
    <t>💰 اللوحة 1: بناء العرض الضارب</t>
  </si>
  <si>
    <t>الهدف: تحويل منتجك إلى عرض يجعل العميل يشعر بالغباء إذا رفض — مبدأ Alex Hormozi</t>
  </si>
  <si>
    <t>الجزء الأول: معادلة القيمة — خانات D و E</t>
  </si>
  <si>
    <t>العمود</t>
  </si>
  <si>
    <t>ماذا تكتب؟</t>
  </si>
  <si>
    <t>مثال (بالأزرق)</t>
  </si>
  <si>
    <t>نصيحة</t>
  </si>
  <si>
    <t>D — تقييمك (1-10)</t>
  </si>
  <si>
    <t>كيف تقيّم عرضك في كل عنصر من المعادلة</t>
  </si>
  <si>
    <t>أكتب رقم بين 1-10 — مثال: 8</t>
  </si>
  <si>
    <t>أي عنصر أقل من 7 = ضعف يجب تعالجه فوراً</t>
  </si>
  <si>
    <t>E — خطة التحسين</t>
  </si>
  <si>
    <t>كيف سترفع هذا العنصر في عرضك</t>
  </si>
  <si>
    <t>أضيف ضمان 30 يوم + أظهر شهادة عميل بأرقام محددة</t>
  </si>
  <si>
    <t>الضمان أقوى أداة لرفع تقييم احتمالية النجاح</t>
  </si>
  <si>
    <t>الجزء الثاني: بناء العرض خطوة بخطوة — عمود D فقط</t>
  </si>
  <si>
    <t>الخطوة</t>
  </si>
  <si>
    <t>السؤال</t>
  </si>
  <si>
    <t>مثال جاسم محمد (بالأزرق)</t>
  </si>
  <si>
    <t>1 — المشكلة</t>
  </si>
  <si>
    <t>ما الألم الأكبر لجمهورك؟</t>
  </si>
  <si>
    <t>يملكون مهارات قيمة لكن لا أحد يشتري منهم — ينشرون بلا نتيجة</t>
  </si>
  <si>
    <t>2 — الحلم</t>
  </si>
  <si>
    <t>ما الذي يحلم به عميلك؟</t>
  </si>
  <si>
    <t>10,000 ريال شهرياً من محتوى يبيعه على السوشيال بدون إعلانات</t>
  </si>
  <si>
    <t>3 — المنتج</t>
  </si>
  <si>
    <t>ما اسم ووصف كورسك؟</t>
  </si>
  <si>
    <t>كورس 'نظام العميل الأوتوماتيكي' — 8 أسابيع تحول متابعك لمشتري</t>
  </si>
  <si>
    <t>4 — العقبات</t>
  </si>
  <si>
    <t>لماذا لا يشتري العميل الآن؟</t>
  </si>
  <si>
    <t>ما عنديش وقت | خايف من التكنولوجيا | جربت وما نجحت | لا أعرف من أين أبدأ</t>
  </si>
  <si>
    <t>5 — الحلول</t>
  </si>
  <si>
    <t>كيف تحل كل عقبة؟</t>
  </si>
  <si>
    <t>وحدة 1: محتوى في 60 دقيقة | وحدة 2: ManyChat بدون خبرة | وحدة 3: إغلاق البيع</t>
  </si>
  <si>
    <t>6 — البونصات</t>
  </si>
  <si>
    <t>ما الهدايا المجانية مع العرض؟</t>
  </si>
  <si>
    <t>30 قالب ريلز + مجتمع Telegram + جلسة مراجعة بقيمة 297ر مجاناً</t>
  </si>
  <si>
    <t>7 — الضمان</t>
  </si>
  <si>
    <t>كيف تعكس المخاطرة؟</t>
  </si>
  <si>
    <t>أمارس معك حتى تحصل على أول عميل مدفوع — أو أرد كامل المبلغ</t>
  </si>
  <si>
    <t>8 — الاستعجال</t>
  </si>
  <si>
    <t>لماذا يشتري الآن؟</t>
  </si>
  <si>
    <t>الدفعة تفتح 1 رمضان — من يسجل اليوم يأخذ 497 بدل 697 ريال</t>
  </si>
  <si>
    <t>9 — الندرة</t>
  </si>
  <si>
    <t>ما المحدودية الحقيقية؟</t>
  </si>
  <si>
    <t>فقط 20 مقعد — 10 تبقت فقط</t>
  </si>
  <si>
    <t>🧲 اللوحة 3: توليد العملاء المحتملين</t>
  </si>
  <si>
    <t>الهدف: جذب أشخاص مهتمين بمنتجك وجمع بياناتهم تلقائياً</t>
  </si>
  <si>
    <t>القسم الأول: الطرق الأربعة (Core Four) — عمود G (الحالة)</t>
  </si>
  <si>
    <t>الطريقة</t>
  </si>
  <si>
    <t>ماذا تفعل؟</t>
  </si>
  <si>
    <t>حدد حالتها بعد التنفيذ</t>
  </si>
  <si>
    <t>1 — تواصل دافئ</t>
  </si>
  <si>
    <t>ابدأ بقائمة 100 شخص تعرفهم — أرسل رسالة مخصصة لكل واحد</t>
  </si>
  <si>
    <t>مرحبا أحمد! أنا أبني نظام تسويق أوتوماتيكي — هل تعرف أحد يبحث عن زيادة مبيعاته؟</t>
  </si>
  <si>
    <t>تغيير → ✅ بعد التنفيذ</t>
  </si>
  <si>
    <t>2 — محتوى مجاني</t>
  </si>
  <si>
    <t>3-5 منشورات/أسبوع تحل مشكلة واحدة في كل منشور</t>
  </si>
  <si>
    <t>Reel: '3 أخطاء تقتل حسابك على انستغرام وأنت تعرفها ما'</t>
  </si>
  <si>
    <t>3 — تواصل بارد</t>
  </si>
  <si>
    <t>100 رسالة DM يومياً لحسابات ترفع محتوى في مجالك</t>
  </si>
  <si>
    <t>أحببت محتواك! عندي كتاب مجاني يصلح لجمهورك — تبيه؟</t>
  </si>
  <si>
    <t>القسم الثاني: Lead Magnets — عمود B (العنوان) + C (الوصف) + D (طريقة التسليم)</t>
  </si>
  <si>
    <t>نوع الهدية</t>
  </si>
  <si>
    <t>العنوان</t>
  </si>
  <si>
    <t>طريقة التسليم (بالأزرق)</t>
  </si>
  <si>
    <t>كتاب PDF</t>
  </si>
  <si>
    <t>7 أخطاء تقتل حسابك على انستغرام</t>
  </si>
  <si>
    <t>شخص يعلق 'كتاب' على ريلز → ManyChat يرسله فوراً في DM</t>
  </si>
  <si>
    <t>ويبينار</t>
  </si>
  <si>
    <t>كيف تحول متابعيك لعملاء خلال جلسة واحدة</t>
  </si>
  <si>
    <t>صفحة تسجيل → Zoom مباشر → عرض في النهاية</t>
  </si>
  <si>
    <t>✉️ اللوحة 5: تسلسل الرسائل</t>
  </si>
  <si>
    <t>الهدف: ردود أوتوماتيكية تحول كل تعليق أو رسالة إلى عميل محتمل</t>
  </si>
  <si>
    <t>ManyChat — كيف تبني تدفق الرسائل</t>
  </si>
  <si>
    <t>المحفّز (Trigger)</t>
  </si>
  <si>
    <t>الرسالة 1 (فورية)</t>
  </si>
  <si>
    <t>الرسالة 2 (بعد 5 دقائق)</t>
  </si>
  <si>
    <t>الرسالة 3 (بعد 24 ساعة)</t>
  </si>
  <si>
    <t>تعليق 'كتاب' على ريلز</t>
  </si>
  <si>
    <t>مرحبا! 🎉 الكتاب جاهز. أرسل 'نعم' وأوصّلك الرابط</t>
  </si>
  <si>
    <t>❤️ لاحظت أنك مهتم. الكتاب غيّر نتائج +500 شخص. تبيه؟</t>
  </si>
  <si>
    <t>📚 آخر تذكير! الكتاب لا يزال متاحاً — اضغط هنا 👇 [link]</t>
  </si>
  <si>
    <t>DM: 'سعر' أو 'كورس'</t>
  </si>
  <si>
    <t>أهلاً! 💪 قبل التفاصيل — ايش أكبر تحدي تواجهه في بناء دخلك؟</t>
  </si>
  <si>
    <t>بناءً على اللي قلته — عندي شي يناسبك بالضبط. شوف هالفيديو: [link]</t>
  </si>
  <si>
    <t>🔥 كثير ناس حققوا نتائج خلال 30 يوم. احجز مكالمة مجانية: [link]</t>
  </si>
  <si>
    <t>📧 تسلسل البريد — 8 إيميلات تحول المتابع لمشتري</t>
  </si>
  <si>
    <t>اليوم</t>
  </si>
  <si>
    <t>عنوان الإيميل</t>
  </si>
  <si>
    <t>نوع المحتوى (بالأزرق)</t>
  </si>
  <si>
    <t>الهدف</t>
  </si>
  <si>
    <t>يوم 0 (فوري)</t>
  </si>
  <si>
    <t>مرحباً! 🎁 هديتك المجانية جاهزة</t>
  </si>
  <si>
    <t>تسليم الكتاب + أول انطباع</t>
  </si>
  <si>
    <t>تسليم القيمة</t>
  </si>
  <si>
    <t>يوم 1</t>
  </si>
  <si>
    <t>القصة التي غيّرت كل شيء... 📖</t>
  </si>
  <si>
    <t>قصتي: كنت أنشر بدون نتيجة حتى طبقت النظام</t>
  </si>
  <si>
    <t>بناء ثقة + مصداقية</t>
  </si>
  <si>
    <t>يوم 3</t>
  </si>
  <si>
    <t>3 أخطاء تقتل 90% من أصحاب المشاريع ❌</t>
  </si>
  <si>
    <t>محتوى تعليمي — يكشف نقاط الألم</t>
  </si>
  <si>
    <t>إثبات خبرة + تشخيص المشكلة</t>
  </si>
  <si>
    <t>يوم 5</t>
  </si>
  <si>
    <t>أحمد حقق 12,000ر خلال 45 يوم 💰</t>
  </si>
  <si>
    <t>شهادة عميل حقيقي — تزيل الشكوك</t>
  </si>
  <si>
    <t>إزالة مقاومة الشراء</t>
  </si>
  <si>
    <t>يوم 7 🔥</t>
  </si>
  <si>
    <t>عرض خاص — ينتهي خلال 48 ساعة!</t>
  </si>
  <si>
    <t>سجّل الآن بسعر 497ر بدل 697ر — العرض ينتهي الليلة!</t>
  </si>
  <si>
    <t>أول عرض بيع مباشر</t>
  </si>
  <si>
    <t>📈 اللوحة 7: متابعة الأداء</t>
  </si>
  <si>
    <t>الهدف: قياس ما يعمل وما لا يعمل — الورقة الوحيدة التي تدخل فيها بيانات يدوياً</t>
  </si>
  <si>
    <t>كيف تستخدم الورقة بشكل صحيح</t>
  </si>
  <si>
    <t>ملاحظة</t>
  </si>
  <si>
    <t>عمود B</t>
  </si>
  <si>
    <t>الهدف الشهري</t>
  </si>
  <si>
    <t>متابعون جدد: 500 | إيرادات: 15,000ر</t>
  </si>
  <si>
    <t>ضع رقماً واحداً فقط</t>
  </si>
  <si>
    <t>عمود C</t>
  </si>
  <si>
    <t>النتيجة الفعلية هذا الشهر</t>
  </si>
  <si>
    <t>متابعون جدد: 620 | إيرادات: 13,916ر</t>
  </si>
  <si>
    <t>اكتب الرقم الفعلي فقط</t>
  </si>
  <si>
    <t>عمود D</t>
  </si>
  <si>
    <t>نسبة التحقيق</t>
  </si>
  <si>
    <t>تحسب تلقائياً — لا تكتب فيها</t>
  </si>
  <si>
    <t>لون أخضر = محقق ✅ | أصفر = قريب ⚠️ | أحمر = دون الهدف ❌</t>
  </si>
  <si>
    <t>عمود E</t>
  </si>
  <si>
    <t>الحالة التلقائية</t>
  </si>
  <si>
    <t>✅ محقق / ⚠️ قريب / ❌ دون الهدف / ⚪ بيانات فارغة</t>
  </si>
  <si>
    <t>تظهر تلقائياً</t>
  </si>
  <si>
    <t>🔴 تحذير مهم: مئشرات عكسية</t>
  </si>
  <si>
    <t>هذه المؤشرات كلما كانت أقل = أفضل — ضع هدفك أكبر من النتيجة</t>
  </si>
  <si>
    <t>• معدل الارتداد (أقل من 40% جيد)</t>
  </si>
  <si>
    <t>• معدل إلغاء الاشتراك (أقل من 0.5% جيد)</t>
  </si>
  <si>
    <t>• معدل استرداد المبلغ (أقل من 5% جيد)</t>
  </si>
  <si>
    <t>⚡ خطوات البدء السريع — أول 7 أيام</t>
  </si>
  <si>
    <t>اللوحة</t>
  </si>
  <si>
    <t>المهمة</t>
  </si>
  <si>
    <t>النتيجة</t>
  </si>
  <si>
    <t>💰 بناء العرض</t>
  </si>
  <si>
    <t>املأ عمود D في الخطوات 1-9 ببياناتك الحقيقية</t>
  </si>
  <si>
    <t>عندك عرض جاهز للبيع</t>
  </si>
  <si>
    <t>يوم 2</t>
  </si>
  <si>
    <t>سجّل ManyChat + Zapier + أنشئ أول Flow للكتاب المجاني</t>
  </si>
  <si>
    <t>النظام يبدأ يعمل أوتوماتيكياً</t>
  </si>
  <si>
    <t>أضف نصوصك في ManyChat + اكتب 8 إيميلات في منصة البريد</t>
  </si>
  <si>
    <t>كل عميل يدخل يأخذ رحلة كاملة</t>
  </si>
  <si>
    <t>يوم 4</t>
  </si>
  <si>
    <t>ابدأ تواصل دافئ (100 شخص) + انشر أول Reel بكلمة محفّزة</t>
  </si>
  <si>
    <t>أول عملاء محتملين يدخلون النظام</t>
  </si>
  <si>
    <t>يوم 7</t>
  </si>
  <si>
    <t>أدخل أول أرقام في عمود B وC — شاهد اللوحة تتحرك</t>
  </si>
  <si>
    <t>لوحة التحكم تتحدّث تلقائياً!</t>
  </si>
  <si>
    <t>📊 دليل الألوان في النظام</t>
  </si>
  <si>
    <t>🔵 أزرق</t>
  </si>
  <si>
    <t>🟢 أخضر</t>
  </si>
  <si>
    <t>🔴 أحمر</t>
  </si>
  <si>
    <t>⚪ رمادي</t>
  </si>
  <si>
    <t>📊 لوحة التحكم الرئيسية — نظام Hormozi للتسويق الأوتوماتيكي</t>
  </si>
  <si>
    <t>نظرة شاملة على أداء جميع قنوات التسويق والمبيعات — يتم التحديث تلقائياً من ورقة متابعة الأداء</t>
  </si>
  <si>
    <t>📈 ملخص مؤشرات الأداء الرئيسية — مقسّم حسب القنوات</t>
  </si>
  <si>
    <t>📱 السوشيال ميديا</t>
  </si>
  <si>
    <t>القيمة</t>
  </si>
  <si>
    <t>🌐 الموقع الإلكتروني</t>
  </si>
  <si>
    <t>📧 البريد الإلكتروني</t>
  </si>
  <si>
    <t>💰 المبيعات والإيرادات</t>
  </si>
  <si>
    <t>✅ مؤشرات محققة (≥100%)</t>
  </si>
  <si>
    <t>❌ مؤشرات أقل من الهدف</t>
  </si>
  <si>
    <t>📊 متوسط نسبة التحقيق</t>
  </si>
  <si>
    <t>🏆 الأداء العام — ملخص شامل</t>
  </si>
  <si>
    <t>المقياس</t>
  </si>
  <si>
    <t>إجمالي المؤشرات المحققة</t>
  </si>
  <si>
    <t>إجمالي المؤشرات غير المحققة</t>
  </si>
  <si>
    <t>المتوسط العام للتحقيق</t>
  </si>
  <si>
    <t>التقييم العام</t>
  </si>
  <si>
    <t>📱 تفاصيل أداء السوشيال ميديا — مرتبط بـ متابعة الأداء</t>
  </si>
  <si>
    <t>المؤشر</t>
  </si>
  <si>
    <t>الفعلي</t>
  </si>
  <si>
    <t>الحالة</t>
  </si>
  <si>
    <t>عدد المتابعين الجدد</t>
  </si>
  <si>
    <t>معدل التفاعل على المنشورات</t>
  </si>
  <si>
    <t>عدد الرسائل المباشرة الواردة</t>
  </si>
  <si>
    <t>تكلفة اكتساب العميل المحتمل</t>
  </si>
  <si>
    <t>🌐 تفاصيل أداء الموقع الإلكتروني</t>
  </si>
  <si>
    <t>عدد زوار الموقع</t>
  </si>
  <si>
    <t>معدل التحويل من زائر لمسجل</t>
  </si>
  <si>
    <t>عدد النقرات على زر الشراء</t>
  </si>
  <si>
    <t>عدد عمليات الشراء المكتملة</t>
  </si>
  <si>
    <t>📧 تفاصيل أداء البريد الإلكتروني</t>
  </si>
  <si>
    <t>عدد المشتركين الجدد بالقائمة البريدية</t>
  </si>
  <si>
    <t>معدل فتح الرسائل البريدية</t>
  </si>
  <si>
    <t>معدل النقر داخل البريد</t>
  </si>
  <si>
    <t>معدل التحويل من بريد لشراء</t>
  </si>
  <si>
    <t>💰 تفاصيل أداء المبيعات والإيرادات — مرتبط بـ متابعة الأداء</t>
  </si>
  <si>
    <t>إجمالي الإيرادات الشهرية</t>
  </si>
  <si>
    <t>عدد المبيعات الجديدة</t>
  </si>
  <si>
    <t>متوسط قيمة الطلب الواحد</t>
  </si>
  <si>
    <t>معدل التحويل الكلي للقمع</t>
  </si>
  <si>
    <t>قيمة العميل مدى الحياة</t>
  </si>
  <si>
    <t>عائد الاستثمار التسويقي</t>
  </si>
  <si>
    <t>🔻 حالة قمع المبيعات — مراحل التحويل (مرتبط بـ قمع المبيعات)</t>
  </si>
  <si>
    <t>المرحلة</t>
  </si>
  <si>
    <t>الاسم</t>
  </si>
  <si>
    <t>نسبة التحويل المتوقعة</t>
  </si>
  <si>
    <t>KPI الرئيسي</t>
  </si>
  <si>
    <t>الأدوات</t>
  </si>
  <si>
    <t>1️⃣ الوعي</t>
  </si>
  <si>
    <t>2️⃣ الاهتمام</t>
  </si>
  <si>
    <t>3️⃣ الرغبة</t>
  </si>
  <si>
    <t>4️⃣ القرار</t>
  </si>
  <si>
    <t>5️⃣ الشراء</t>
  </si>
  <si>
    <t>6️⃣ الولاء</t>
  </si>
  <si>
    <t>💰 بناء العرض الضارب — Grand Slam Offer Builder</t>
  </si>
  <si>
    <t>المبدأ: اجعل عرضك جيداً لدرجة أن العميل يشعر بالغباء إذا رفض — Alex Hormozi</t>
  </si>
  <si>
    <t>📐 معادلة القيمة (Value Equation) — أساس كل عرض ناجح</t>
  </si>
  <si>
    <t>عنصر المعادلة</t>
  </si>
  <si>
    <t>الوصف</t>
  </si>
  <si>
    <t>مثال تطبيقي</t>
  </si>
  <si>
    <t>تقييمك (1-10)</t>
  </si>
  <si>
    <t>خطة التحسين</t>
  </si>
  <si>
    <t>🎯 النتيجة المحققة (Dream Outcome)</t>
  </si>
  <si>
    <t>ما الذي سيحصل عليه العميل فعلياً؟</t>
  </si>
  <si>
    <t>بناء نظام تسويقي يحقق 10 آلاف دولار شهرياً</t>
  </si>
  <si>
    <t>أضيف شهادات عملاء بأرقام محددة: 'حقق أحمد 12,000 ريال في 45 يوم'</t>
  </si>
  <si>
    <t>📈 احتمالية النجاح (Perceived Likelihood)</t>
  </si>
  <si>
    <t>ما مدى ثقة العميل بأنه سينجح؟</t>
  </si>
  <si>
    <t>شهادات عملاء + خطة خطوة بخطوة + دعم مباشر</t>
  </si>
  <si>
    <t>أضيف ضمان استرداد 30 يوم + أظهر نتائج العملاء السابقين بالأرقام</t>
  </si>
  <si>
    <t>⏱️ تقليل الوقت (Time Delay)</t>
  </si>
  <si>
    <t>كم يحتاج العميل ليرى نتائج؟</t>
  </si>
  <si>
    <t>أول عميل خلال 30 يوم + نتائج ملموسة خلال 90 يوم</t>
  </si>
  <si>
    <t>أوضح أن أول نتيجة تجيها خلال 7 أيام من التطبيق — ليس 90 يوم</t>
  </si>
  <si>
    <t>💪 تقليل الجهد (Effort &amp; Sacrifice)</t>
  </si>
  <si>
    <t>كم جهد يحتاج العميل لتحقيق النتيجة؟</t>
  </si>
  <si>
    <t>قوالب جاهزة + أتمتة + فيديوهات قصيرة مبسطة</t>
  </si>
  <si>
    <t>أصنع قوالب جاهزة + فيديوهات أقل من 10 دقائق + شيت تطبيق يومي</t>
  </si>
  <si>
    <t>📊 معادلة القيمة = (النتيجة المحققة × احتمالية النجاح) ÷ (الوقت × الجهد) — كلما زاد البسط وقل المقام، زادت قيمة عرضك</t>
  </si>
  <si>
    <t>🏗️ بناء العرض الضارب — خطوة بخطوة</t>
  </si>
  <si>
    <t>العنصر</t>
  </si>
  <si>
    <t>معظم أصحاب المشاريع لا يحصلون على عملاء بانتظام رغم جودة منتجهم — ينشرون بدون خطة وينتظرون الزبائن يجون</t>
  </si>
  <si>
    <t>أمثلة</t>
  </si>
  <si>
    <t>حدد مشكلة كبيرة (Big Problem)</t>
  </si>
  <si>
    <t>اختر مشكلة يعاني منها جمهورك بشدة</t>
  </si>
  <si>
    <t>يحققون 10,000 ريال شهرياً من محتواهم دون الحاجة لإعلانات مدفوعة أو وسيط</t>
  </si>
  <si>
    <t>لا يعرفون كيف يبنون جمهور على السوشيال ميديا</t>
  </si>
  <si>
    <t>حدد الحلم (Dream Outcome)</t>
  </si>
  <si>
    <t>ما الذي يتمنى جمهورك تحقيقه؟</t>
  </si>
  <si>
    <t>كورس 'نظام العميل الأوتوماتيكي' — خطة من 8 أسابيع تحول متابعيك إلى عملاء يدفعون تلقائياً</t>
  </si>
  <si>
    <t>بناء قاعدة 10,000 متابع مهتم خلال 6 أشهر</t>
  </si>
  <si>
    <t>اصنع Vehicle (وسيلة الحل)</t>
  </si>
  <si>
    <t>منتجك هو الوسيلة لتحقيق الحلم</t>
  </si>
  <si>
    <t>• ما عنديش وقت للمحتوى • التكنولوجيا معقدة • لا أعرف ماذا أنشر • خايف من التجاهل • جربت من قبل وما نجحت</t>
  </si>
  <si>
    <t>كورس: نظام بناء الجمهور الأوتوماتيكي</t>
  </si>
  <si>
    <t>حدد العقبات (Obstacles)</t>
  </si>
  <si>
    <t>ما الذي يمنع العميل من تحقيق حلمه؟</t>
  </si>
  <si>
    <t>وحدة 1: بناء محتوى يجذب في 60 دقيقة | وحدة 2: ManyChat بدون خبرة | وحدة 3: قمع مبيعات يحول متابعيك لمشترين | وحدة 4: إعداد البريد الإلكتروني الأوتوماتيكي | وحدة 5: إغلاق البيع والتحصيل</t>
  </si>
  <si>
    <t>لا وقت / لا خبرة / لا أدوات / خوف من التكنولوجيا</t>
  </si>
  <si>
    <t>حول العقبات لحلول (Solutions)</t>
  </si>
  <si>
    <t>لكل عقبة حل = وحدة في منتجك</t>
  </si>
  <si>
    <t>بونص 1: حزمة قوالب ريلز جاهزة (30 قالب) | بونص 2: مجتمع خاص على Telegram — دعم مدى الحياة | بونص 3: جلسة مراجعة شخصية واحدة بقيمة 297 ريال (.مجاناً)</t>
  </si>
  <si>
    <t>وحدة 1: إعداد الحسابات - وحدة 2: المحتوى الجاهز</t>
  </si>
  <si>
    <t>أضف Bonuses (مكافآت)</t>
  </si>
  <si>
    <t>إضافات مجانية تزيد القيمة المحسوسة</t>
  </si>
  <si>
    <t>ضمان نتيجة: أمارس معك خطوة بخطوة حتى تحصل على أول عميل مدفوع — أو أرد لك كامل المبلغ</t>
  </si>
  <si>
    <t>قوالب جاهزة + مجتمع خاص + جلسة استشارة</t>
  </si>
  <si>
    <t>أضف Guarantee (ضمان)</t>
  </si>
  <si>
    <t>اعكس المخاطرة من العميل إليك</t>
  </si>
  <si>
    <t>الدفعة القادمة تفتح بتاريخ 1 رمضان — من يسجل اليوم يأخذ سعر 497 ريال بدل 697</t>
  </si>
  <si>
    <t>ضمان 30 يوم استرداد كامل / ضمان النتيجة</t>
  </si>
  <si>
    <t>حدد الاستعجال (Urgency)</t>
  </si>
  <si>
    <t>اخلق سبباً حقيقياً للشراء الآن</t>
  </si>
  <si>
    <t>فقط 20 مقعد في الدفعة القادمة — 10 مقاعد تبقت</t>
  </si>
  <si>
    <t>أول 50 مشترك فقط / ينتهي العرض خلال 48 ساعة</t>
  </si>
  <si>
    <t>حدد الندرة (Scarcity)</t>
  </si>
  <si>
    <t>اجعل العرض محدوداً بشكل حقيقي</t>
  </si>
  <si>
    <t>حدد محدودية حقيقية في عرضك</t>
  </si>
  <si>
    <t>فقط 20 مقعد / نسخة محدودة مع دعم شخصي</t>
  </si>
  <si>
    <t>🪜 سلم المنتجات (Value Ladder) — من المجاني إلى VIP</t>
  </si>
  <si>
    <t>المستوى</t>
  </si>
  <si>
    <t>نوع العرض</t>
  </si>
  <si>
    <t>المنتج</t>
  </si>
  <si>
    <t>السعر ($)</t>
  </si>
  <si>
    <t>مثال</t>
  </si>
  <si>
    <t>1 — مجاني</t>
  </si>
  <si>
    <t>Lead Magnet (جذب)</t>
  </si>
  <si>
    <t>كتاب PDF: 7 أخطاء تقتل حسابك على انستغرام</t>
  </si>
  <si>
    <t>جمع بيانات العميل</t>
  </si>
  <si>
    <t>كتاب مجاني: 5 أسرار لبناء جمهور</t>
  </si>
  <si>
    <t>2 — منخفض</t>
  </si>
  <si>
    <t>Tripwire (تجربة)</t>
  </si>
  <si>
    <t xml:space="preserve">دليل بناء الحرية المالية :  : كتاب اللكتروني بدون التسويق كارثة تهدر ثروتك المستقبلية </t>
  </si>
  <si>
    <t>15,64</t>
  </si>
  <si>
    <t>تحويل المتابع لمشتري</t>
  </si>
  <si>
    <t>كتاب إلكتروني: دليل البدء السريع</t>
  </si>
  <si>
    <t>3 — متوسط</t>
  </si>
  <si>
    <t>Core Offer (العرض الأساسي)</t>
  </si>
  <si>
    <t>كورس: نظام العميل الأوتوماتيكي — من المتابع للمشتري</t>
  </si>
  <si>
    <t>الربح الأساسي</t>
  </si>
  <si>
    <t>كورس: بناء نظام تسويقي متكامل</t>
  </si>
  <si>
    <t>4 — عالي</t>
  </si>
  <si>
    <t>Premium (مميز)</t>
  </si>
  <si>
    <t>برنامج VIP: معك شخصياً 8 أسابيع لبناء نظامك كاملاً</t>
  </si>
  <si>
    <t>أعلى ربح لكل عميل</t>
  </si>
  <si>
    <t>برنامج تدريبي مكثف مع دعم شخصي</t>
  </si>
  <si>
    <t>5 — VIP</t>
  </si>
  <si>
    <t>Continuity (استمرارية)</t>
  </si>
  <si>
    <t>عضوية شهرية: مجتمع + محتوى حصري + جلسة جماعية أسبوعية</t>
  </si>
  <si>
    <t>دخل متكرر شهري</t>
  </si>
  <si>
    <t>عضوية شهرية: مجتمع خاص + محتوى حصري</t>
  </si>
  <si>
    <t>🧲 توليد العملاء المحتملين — $100M Leads Framework</t>
  </si>
  <si>
    <t>📌 الطرق الأربعة الأساسية (Core Four) لجلب العملاء</t>
  </si>
  <si>
    <t>النوع</t>
  </si>
  <si>
    <t>خطة التنفيذ</t>
  </si>
  <si>
    <t>المنصة</t>
  </si>
  <si>
    <t>الأولوية</t>
  </si>
  <si>
    <t>1. تواصل دافئ (Warm Outreach)</t>
  </si>
  <si>
    <t>مجاني</t>
  </si>
  <si>
    <t>تواصل مباشر مع أشخاص يعرفونك</t>
  </si>
  <si>
    <t>قائمة 100 شخص → رسالة مخصصة → عرض مساعدة</t>
  </si>
  <si>
    <t>WhatsApp / Instagram DM</t>
  </si>
  <si>
    <t>🔴 عالية</t>
  </si>
  <si>
    <t>⬜</t>
  </si>
  <si>
    <t>2. محتوى مجاني (Free Content)</t>
  </si>
  <si>
    <t>نشر محتوى قيّم يجذب جمهور جديد</t>
  </si>
  <si>
    <t>3-5 منشورات/أسبوع → Reels + Stories + Posts</t>
  </si>
  <si>
    <t>Instagram / Facebook / YouTube</t>
  </si>
  <si>
    <t>3. تواصل بارد (Cold Outreach)</t>
  </si>
  <si>
    <t>تواصل مع أشخاص لا يعرفونك</t>
  </si>
  <si>
    <t>100 رسالة/يوم → DM مخصص → قيمة أولاً</t>
  </si>
  <si>
    <t>Instagram DM / Email</t>
  </si>
  <si>
    <t>🟡 متوسطة</t>
  </si>
  <si>
    <t>4. إعلانات مدفوعة (Paid Ads)</t>
  </si>
  <si>
    <t>مدفوع</t>
  </si>
  <si>
    <t>إعلانات موجهة لجمهور محدد</t>
  </si>
  <si>
    <t>حملة تجريبية → اختبار → توسع</t>
  </si>
  <si>
    <t>Facebook Ads / Instagram Ads</t>
  </si>
  <si>
    <t>🎁 Lead Magnets — مغناطيس العملاء (محتوى مجاني مقابل بيانات العميل)</t>
  </si>
  <si>
    <t>الرقم</t>
  </si>
  <si>
    <t>نوع Lead Magnet</t>
  </si>
  <si>
    <t>العنوان المقترح</t>
  </si>
  <si>
    <t>طريقة التسليم</t>
  </si>
  <si>
    <t>يجمع</t>
  </si>
  <si>
    <t>كتاب إلكتروني مجاني (PDF)</t>
  </si>
  <si>
    <t>أدخل عنوان الكتاب</t>
  </si>
  <si>
    <t>دليل مختصر يحل مشكلة محددة</t>
  </si>
  <si>
    <t>رابط تحميل عبر ManyChat أو البريد</t>
  </si>
  <si>
    <t>اسم + بريد</t>
  </si>
  <si>
    <t>دورة مصغرة مجانية (Mini Course)</t>
  </si>
  <si>
    <t>أدخل عنوان الدورة</t>
  </si>
  <si>
    <t>3-5 فيديوهات قصيرة تعطي نتيجة سريعة</t>
  </si>
  <si>
    <t>صفحة هبوط → تسجيل → وصول</t>
  </si>
  <si>
    <t>اسم + بريد + هاتف</t>
  </si>
  <si>
    <t>قالب / Template جاهز</t>
  </si>
  <si>
    <t>أدخل اسم القالب</t>
  </si>
  <si>
    <t>أداة عملية يستخدمها العميل فوراً</t>
  </si>
  <si>
    <t>تحميل مباشر أو عبر البريد</t>
  </si>
  <si>
    <t>ويبينار مجاني (Webinar)</t>
  </si>
  <si>
    <t>أدخل عنوان الويبينار</t>
  </si>
  <si>
    <t>جلسة مباشرة تعليمية + عرض في النهاية</t>
  </si>
  <si>
    <t>Zoom أو صفحة بث مباشر</t>
  </si>
  <si>
    <t>تحدي مجاني (Challenge)</t>
  </si>
  <si>
    <t>أدخل اسم التحدي</t>
  </si>
  <si>
    <t>تحدي 5-7 أيام يحقق نتيجة صغيرة</t>
  </si>
  <si>
    <t>مجموعة Telegram أو WhatsApp</t>
  </si>
  <si>
    <t>🤖 أتمتة ManyChat — سيناريوهات الرد التلقائي</t>
  </si>
  <si>
    <t>السيناريو</t>
  </si>
  <si>
    <t>المحفز (Trigger)</t>
  </si>
  <si>
    <t>الرسالة التلقائية</t>
  </si>
  <si>
    <t>الإجراء التالي</t>
  </si>
  <si>
    <t>تعليق على بوست</t>
  </si>
  <si>
    <t>يكتب كلمة محددة في التعليق (مثل: مجاني)</t>
  </si>
  <si>
    <t>مرحباً! 🎉 شكراً لاهتمامك. الرابط في رسالتك الخاصة</t>
  </si>
  <si>
    <t>إرسال رابط Lead Magnet + حفظ البيانات</t>
  </si>
  <si>
    <t>جمع بريد إلكتروني</t>
  </si>
  <si>
    <t>رسالة مباشرة (DM)</t>
  </si>
  <si>
    <t>يرسل رسالة أو يبدأ محادثة</t>
  </si>
  <si>
    <t>أهلاً! كيف أقدر أساعدك؟ هل تبحث عن: 1) كورس 2) كتاب 3) استشارة</t>
  </si>
  <si>
    <t>توجيه حسب الاختيار → عرض مناسب</t>
  </si>
  <si>
    <t>تصنيف العميل</t>
  </si>
  <si>
    <t>Story Reply</t>
  </si>
  <si>
    <t>يرد على Story</t>
  </si>
  <si>
    <t>شكراً على ردك! هل تبي تعرف أكثر عن [المنتج]؟</t>
  </si>
  <si>
    <t>إرسال معلومات + رابط صفحة هبوط</t>
  </si>
  <si>
    <t>تحريك العميل للمرحلة التالية</t>
  </si>
  <si>
    <t>Keyword في DM</t>
  </si>
  <si>
    <t>يكتب كلمة محددة مثل: سعر / كورس / بداية</t>
  </si>
  <si>
    <t>إليك تفاصيل [المنتج]: السعر / المميزات / رابط الشراء</t>
  </si>
  <si>
    <t>متابعة بعد 24 ساعة إذا لم يشتري</t>
  </si>
  <si>
    <t>تحويل للشراء</t>
  </si>
  <si>
    <t>بعد الشراء</t>
  </si>
  <si>
    <t>يكمل عملية الشراء</t>
  </si>
  <si>
    <t>مبروك! 🎊 تم تسجيلك. إليك رابط الوصول للكورس</t>
  </si>
  <si>
    <t>إضافة لقائمة العملاء + بدء Onboarding</t>
  </si>
  <si>
    <t>تجربة عميل ممتازة</t>
  </si>
  <si>
    <t>testuser@example.com</t>
  </si>
  <si>
    <t>event_name</t>
  </si>
  <si>
    <t>email</t>
  </si>
  <si>
    <t>lead_id</t>
  </si>
  <si>
    <t>source</t>
  </si>
  <si>
    <t>created_at</t>
  </si>
  <si>
    <t>lead_created</t>
  </si>
  <si>
    <t>verify@black4me.com</t>
  </si>
  <si>
    <t>verify-001</t>
  </si>
  <si>
    <t>strict_test</t>
  </si>
  <si>
    <t>2026-07-21T07:00:00.000Z</t>
  </si>
  <si>
    <t>🔻 قمع المبيعات — Sales Funnel (رحلة العميل من الاكتشاف إلى الشراء)</t>
  </si>
  <si>
    <t>📊 مراحل قمع المبيعات — كل مرحلة = فلتر يقرّب العميل للشراء</t>
  </si>
  <si>
    <t>المحتوى / الإجراء</t>
  </si>
  <si>
    <t>KPI</t>
  </si>
  <si>
    <t>Awareness (اكتشاف)</t>
  </si>
  <si>
    <t>يعرف أنك موجود</t>
  </si>
  <si>
    <t>Instagram Reels + Posts + Stories</t>
  </si>
  <si>
    <t>محتوى تعليمي قيّم + Reels فيروسية</t>
  </si>
  <si>
    <t>100% (القاعدة)</t>
  </si>
  <si>
    <t>مشاهدات + وصول</t>
  </si>
  <si>
    <t>⚪ بانتظار البيانات</t>
  </si>
  <si>
    <t>Interest (اهتمام)</t>
  </si>
  <si>
    <t>يتابعك ويتفاعل</t>
  </si>
  <si>
    <t>ManyChat + Instagram DM</t>
  </si>
  <si>
    <t>Lead Magnet مجاني (كتاب/قالب/دورة)</t>
  </si>
  <si>
    <t>30-50%</t>
  </si>
  <si>
    <t>متابعين جدد + تفاعل</t>
  </si>
  <si>
    <t>Desire (رغبة)</t>
  </si>
  <si>
    <t>يريد منتجك</t>
  </si>
  <si>
    <t>Email + ManyChat Sequences</t>
  </si>
  <si>
    <t>شهادات عملاء + محتوى قيّم + عروض</t>
  </si>
  <si>
    <t>10-20%</t>
  </si>
  <si>
    <t>نقرات على الروابط</t>
  </si>
  <si>
    <t>Decision (قرار)</t>
  </si>
  <si>
    <t>مستعد للشراء</t>
  </si>
  <si>
    <t>صفحة مبيعات + عرض محدود</t>
  </si>
  <si>
    <t>Grand Slam Offer + ضمان + استعجال</t>
  </si>
  <si>
    <t>5-10%</t>
  </si>
  <si>
    <t>زيارات صفحة المبيعات</t>
  </si>
  <si>
    <t>Purchase (شراء)</t>
  </si>
  <si>
    <t>يشتري المنتج</t>
  </si>
  <si>
    <t>صفحة دفع + ManyChat تأكيد</t>
  </si>
  <si>
    <t>عملية دفع سهلة + تأكيد فوري</t>
  </si>
  <si>
    <t>2-5%</t>
  </si>
  <si>
    <t>عدد المبيعات + الإيراد</t>
  </si>
  <si>
    <t>Retention (ولاء)</t>
  </si>
  <si>
    <t>يشتري مرة أخرى</t>
  </si>
  <si>
    <t>Email + مجتمع خاص</t>
  </si>
  <si>
    <t>محتوى حصري + عروض ترقية + Upsell</t>
  </si>
  <si>
    <t>20-40% من المشترين</t>
  </si>
  <si>
    <t>معدل إعادة الشراء</t>
  </si>
  <si>
    <t>⚡ تسلسل الإجراءات الأوتوماتيكي — ماذا يحدث في كل مرحلة؟</t>
  </si>
  <si>
    <t>الإجراء التلقائي</t>
  </si>
  <si>
    <t>الأداة</t>
  </si>
  <si>
    <t>الوقت</t>
  </si>
  <si>
    <t>الرسالة / المحتوى</t>
  </si>
  <si>
    <t>زائر جديد يعلق على بوست</t>
  </si>
  <si>
    <t>ManyChat يرد + يرسل Lead Magnet</t>
  </si>
  <si>
    <t>ManyChat</t>
  </si>
  <si>
    <t>فوري</t>
  </si>
  <si>
    <t>مرحباً! أرسلنا لك [المنتج المجاني] في الخاص 🎁</t>
  </si>
  <si>
    <t>يفتح Lead Magnet</t>
  </si>
  <si>
    <t>Zapier يضيفه لقائمة البريد الإلكتروني</t>
  </si>
  <si>
    <t>Zapier → Email</t>
  </si>
  <si>
    <t>يدخل في سلسلة رسائل ترحيبية</t>
  </si>
  <si>
    <t>لا يشتري خلال 3 أيام</t>
  </si>
  <si>
    <t>ManyChat يرسل متابعة</t>
  </si>
  <si>
    <t>بعد 3 أيام</t>
  </si>
  <si>
    <t>هل استفدت من [المنتج المجاني]؟ عندي شيء أفضل لك...</t>
  </si>
  <si>
    <t>ينقر على رابط المنتج</t>
  </si>
  <si>
    <t>Zapier يصنّفه كـ Hot Lead</t>
  </si>
  <si>
    <t>Zapier → CRM</t>
  </si>
  <si>
    <t>يُنقل لقائمة العملاء المهتمين</t>
  </si>
  <si>
    <t>يزور صفحة المبيعات ولا يشتري</t>
  </si>
  <si>
    <t>إعلان إعادة استهداف (Retargeting)</t>
  </si>
  <si>
    <t>Facebook Ads</t>
  </si>
  <si>
    <t>بعد 24 ساعة</t>
  </si>
  <si>
    <t>إعلان مخصص: العرض ينتهي قريباً + شهادة عميل</t>
  </si>
  <si>
    <t>يشتري</t>
  </si>
  <si>
    <t>Zapier يؤكد + يسلّم + يبدأ Onboarding</t>
  </si>
  <si>
    <t>Zapier → Email + ManyChat</t>
  </si>
  <si>
    <t>مبروك! 🎊 إليك رابط الوصول + أول خطوة</t>
  </si>
  <si>
    <t>بعد 7 أيام من الشراء</t>
  </si>
  <si>
    <t>رسالة متابعة + عرض Upsell</t>
  </si>
  <si>
    <t>Email + ManyChat</t>
  </si>
  <si>
    <t>بعد 7 أيام</t>
  </si>
  <si>
    <t>كيف تقدمك؟ إليك عرض خاص للترقية 🚀</t>
  </si>
  <si>
    <t>📨 تسلسل الرسائل — Message Sequences (أتمتة التواصل مع العملاء)</t>
  </si>
  <si>
    <t>📱 تسلسل رسائل ManyChat — الرد التلقائي على التعليقات والرسائل</t>
  </si>
  <si>
    <t>رقم التسلسل</t>
  </si>
  <si>
    <t>الرسالة الأولى (فورية)</t>
  </si>
  <si>
    <t>الرسالة الثانية (بعد 5 دقائق)</t>
  </si>
  <si>
    <t>الرسالة الثالثة (بعد 24 ساعة)</t>
  </si>
  <si>
    <t>CTA / الإجراء المطلوب</t>
  </si>
  <si>
    <t>ملاحظات</t>
  </si>
  <si>
    <t>تعليق على Reel يحتوي كلمة 'كتاب' أو 'مجاني'</t>
  </si>
  <si>
    <t>مرحباً! 🎉 شكراً على اهتمامك. الكتاب المجاني جاهز لك. أرسل لي 'نعم' وأوصّلك الرابط مباشرة 👇</t>
  </si>
  <si>
    <t>⏰ لاحظت أنك مهتم! الكتاب فيه استراتيجيات غيّرت نتائج +500 شخص. هل أرسل لك الرابط الآن؟</t>
  </si>
  <si>
    <t>📚 آخر تذكير! الكتاب المجاني لا يزال متاح لك. اضغط هنا للتحميل الفوري 👇 [رابط]</t>
  </si>
  <si>
    <t>تحميل Lead Magnet + جمع الإيميل</t>
  </si>
  <si>
    <t>توليد عميل محتمل + بناء قائمة</t>
  </si>
  <si>
    <t>ربط مع Zapier لحفظ البيانات في CRM</t>
  </si>
  <si>
    <t>رسالة مباشرة DM تحتوي 'سعر' أو 'كورس'</t>
  </si>
  <si>
    <t>أهلاً وسهلاً! 💪 أنت في المكان الصحيح. قبل ما أعطيك التفاصيل، خبرني: ايش أكبر تحدي تواجهه في بناء دخلك؟</t>
  </si>
  <si>
    <t>شكراً على مشاركتك! ✨ بناءً على اللي قلته، عندي شي يناسبك بالضبط. شوف هالفيديو القصير: [رابط]</t>
  </si>
  <si>
    <t>🔥 كثير ناس بنفس وضعك حققوا نتائج خلال 30 يوم. تبي تعرف كيف؟ احجز مكالمة مجانية: [رابط]</t>
  </si>
  <si>
    <t>حجز مكالمة مجانية / Webinar</t>
  </si>
  <si>
    <t>تأهيل العميل + نقله للمرحلة التالية</t>
  </si>
  <si>
    <t>تصنيف العميل حسب نوع التحدي</t>
  </si>
  <si>
    <t>تعليق يحتوي 'كيف' أو 'طريقة'</t>
  </si>
  <si>
    <t>سؤال ممتاز! 🎯 جهّزت لك دليل مجاني يشرح الطريقة خطوة بخطوة. أرسل لي 'أبي الدليل' وأرسله لك 📩</t>
  </si>
  <si>
    <t>💡 الدليل فيه 7 خطوات عملية يستخدمها أنجح رواد الأعمال العرب. جاهز تبدأ؟</t>
  </si>
  <si>
    <t>⚡ أخيراً! الدليل متاح لمدة 48 ساعة فقط. حمّله الآن قبل ينتهي العرض 👇</t>
  </si>
  <si>
    <t>تحميل دليل PDF + جمع بيانات</t>
  </si>
  <si>
    <t>تقديم قيمة مجانية + بناء ثقة</t>
  </si>
  <si>
    <t>عرض محدود الوقت يخلق إلحاح</t>
  </si>
  <si>
    <t>متابعة جديدة للحساب (New Follower)</t>
  </si>
  <si>
    <t>مرحباً بك في المجتمع! 🙌 أنا [اسمك] وأساعد الناس يبنون مصادر دخل بطريقة ذكية. ايش اللي جذبك للحساب؟</t>
  </si>
  <si>
    <t>بالمناسبة! 🎁 عندي هدية ترحيبية — كتاب إلكتروني مجاني عن أسرار بناء الدخل. تبيه؟</t>
  </si>
  <si>
    <t>📊 أكثر من 1000 شخص حمّلوا الكتاب هذا الشهر. لا تفوّت الفرصة! [رابط التحميل]</t>
  </si>
  <si>
    <t>ترحيب + عرض Lead Magnet</t>
  </si>
  <si>
    <t>بناء علاقة من أول لحظة</t>
  </si>
  <si>
    <t>شخّص المتابع الجديد كعميل محتمل</t>
  </si>
  <si>
    <t>ردّ على Story يحتوي 'نتائج' أو 'شهادة'</t>
  </si>
  <si>
    <t>شكراً على رسالتك! 💪 النتائج حقيقية 100%. تبي تعرف كيف تحقق نفس الشي؟ عندي 3 خيارات لك...</t>
  </si>
  <si>
    <t>الخيارات:
1️⃣ كتاب مجاني (للمبتدئين)
2️⃣ ورشة عمل مباشرة (للجادين)
3️⃣ استشارة شخصية (للي يبون نتائج سريعة)
ايش يناسبك؟</t>
  </si>
  <si>
    <t>⏰ المقاعد المتاحة تنفد بسرعة! اختر الخيار اللي يناسبك وأنا أساعدك تبدأ اليوم 🚀</t>
  </si>
  <si>
    <t>تصنيف العميل حسب مستوى الجدية</t>
  </si>
  <si>
    <t>فلترة + توجيه للعرض المناسب</t>
  </si>
  <si>
    <t>Zapier يسجل الاختيار في CRM</t>
  </si>
  <si>
    <t>📧 تسلسل رسائل البريد الإلكتروني — Email Nurture Sequence</t>
  </si>
  <si>
    <t>نوع المحتوى</t>
  </si>
  <si>
    <t>CTA / الإجراء</t>
  </si>
  <si>
    <t>النبرة</t>
  </si>
  <si>
    <t>معدل الفتح المستهدف</t>
  </si>
  <si>
    <t>اليوم 0 (فوري)</t>
  </si>
  <si>
    <t>مرحباً! هديتك المجانية جاهزة 🎁</t>
  </si>
  <si>
    <t>تسليم Lead Magnet</t>
  </si>
  <si>
    <t>تسليم القيمة + بناء أول انطباع</t>
  </si>
  <si>
    <t>تحميل الكتاب/الدليل المجاني</t>
  </si>
  <si>
    <t>ودية + حماسية</t>
  </si>
  <si>
    <t>يُرسل فوراً بعد التسجيل</t>
  </si>
  <si>
    <t>اليوم 1</t>
  </si>
  <si>
    <t>القصة اللي غيّرت كل شي... 📖</t>
  </si>
  <si>
    <t>قصة شخصية (Origin Story)</t>
  </si>
  <si>
    <t>اقرأ القصة كاملة</t>
  </si>
  <si>
    <t>صادقة + ملهمة</t>
  </si>
  <si>
    <t>قصة التحول الشخصي</t>
  </si>
  <si>
    <t>اليوم 3</t>
  </si>
  <si>
    <t>أكبر 3 أخطاء يرتكبها 90% من الناس ❌</t>
  </si>
  <si>
    <t>محتوى تعليمي</t>
  </si>
  <si>
    <t>إثبات الخبرة + كشف المشاكل</t>
  </si>
  <si>
    <t>شاهد الفيديو التوضيحي</t>
  </si>
  <si>
    <t>تعليمية + مباشرة</t>
  </si>
  <si>
    <t>يكشف نقاط الألم</t>
  </si>
  <si>
    <t>اليوم 5</t>
  </si>
  <si>
    <t>نتائج حقيقية: كيف حقق [اسم] أول 10,000 ريال 💰</t>
  </si>
  <si>
    <t>شهادة عميل (Social Proof)</t>
  </si>
  <si>
    <t>إزالة الشكوك + إثبات النتائج</t>
  </si>
  <si>
    <t>اقرأ قصة النجاح كاملة</t>
  </si>
  <si>
    <t>واقعية + محفّزة</t>
  </si>
  <si>
    <t>استخدم شهادات حقيقية</t>
  </si>
  <si>
    <t>اليوم 7</t>
  </si>
  <si>
    <t>🔥 عرض خاص لك فقط — ينتهي خلال 48 ساعة</t>
  </si>
  <si>
    <t>عرض محدود (Urgency)</t>
  </si>
  <si>
    <t>تحويل العميل المحتمل لمشتري</t>
  </si>
  <si>
    <t>سجّل الآن بسعر خاص</t>
  </si>
  <si>
    <t>حاسمة + عاجلة</t>
  </si>
  <si>
    <t>اليوم 8</t>
  </si>
  <si>
    <t>⏰ تذكير أخير — العرض ينتهي الليلة!</t>
  </si>
  <si>
    <t>تذكير + ندرة</t>
  </si>
  <si>
    <t>استعادة المترددين</t>
  </si>
  <si>
    <t>آخر فرصة — سجّل الآن</t>
  </si>
  <si>
    <t>عاجلة + مباشرة</t>
  </si>
  <si>
    <t>تذكير بانتهاء العرض</t>
  </si>
  <si>
    <t>اليوم 10</t>
  </si>
  <si>
    <t>شكراً لك! + مفاجأة صغيرة 🎉</t>
  </si>
  <si>
    <t>محتوى قيمة إضافي</t>
  </si>
  <si>
    <t>الحفاظ على العلاقة مع غير المشترين</t>
  </si>
  <si>
    <t>حمّل الهدية الإضافية</t>
  </si>
  <si>
    <t>شاكرة + كريمة</t>
  </si>
  <si>
    <t>يبدأ تسلسل جديد للي ما اشتروا</t>
  </si>
  <si>
    <t>اليوم 14</t>
  </si>
  <si>
    <t>ورشة عمل مجانية مباشرة — سجّل مكانك 📺</t>
  </si>
  <si>
    <t>دعوة لحدث مباشر</t>
  </si>
  <si>
    <t>إعادة تنشيط + عرض بديل</t>
  </si>
  <si>
    <t>احجز مكانك في الورشة</t>
  </si>
  <si>
    <t>حماسية + تعليمية</t>
  </si>
  <si>
    <t>للي ما اشتروا الكورس</t>
  </si>
  <si>
    <t>📲 تسلسل رسائل WhatsApp / SMS — للمتابعة المباشرة</t>
  </si>
  <si>
    <t>التوقيت</t>
  </si>
  <si>
    <t>نوع الرسالة</t>
  </si>
  <si>
    <t>نص الرسالة</t>
  </si>
  <si>
    <t>الشرط / المحفّز</t>
  </si>
  <si>
    <t>CTA</t>
  </si>
  <si>
    <t>ترحيب</t>
  </si>
  <si>
    <t>أهلاً [الاسم]! 🙌 شكراً على اهتمامك. رابط الكتاب المجاني: [رابط]. أي سؤال أنا موجود!</t>
  </si>
  <si>
    <t>بعد تسجيل الإيميل</t>
  </si>
  <si>
    <t>تحميل + رد</t>
  </si>
  <si>
    <t>WhatsApp</t>
  </si>
  <si>
    <t>Zapier يرسل تلقائي</t>
  </si>
  <si>
    <t>بعد يوم</t>
  </si>
  <si>
    <t>متابعة</t>
  </si>
  <si>
    <t>[الاسم] حمّلت الكتاب؟ 📚 أهم فصل هو الثالث — اقرأه أول شي وخبرني رأيك!</t>
  </si>
  <si>
    <t>إذا ما فتح الرابط</t>
  </si>
  <si>
    <t>تفاعل + رد</t>
  </si>
  <si>
    <t>حسب بيانات الفتح</t>
  </si>
  <si>
    <t>قيمة إضافية</t>
  </si>
  <si>
    <t>💡 نصيحة سريعة: أنجح الناس يبدأون بعرض واحد قوي بدل 10 عروض ضعيفة. تبي أساعدك تبني عرضك؟</t>
  </si>
  <si>
    <t>للجميع</t>
  </si>
  <si>
    <t>حجز مكالمة</t>
  </si>
  <si>
    <t>نصيحة من Hormozi</t>
  </si>
  <si>
    <t>بعد 5 أيام</t>
  </si>
  <si>
    <t>عرض</t>
  </si>
  <si>
    <t>🔥 [الاسم] عندي عرض خاص لمتابعيني: خصم 40% على كورس [اسم الكورس]. صالح لمدة 48 ساعة فقط!</t>
  </si>
  <si>
    <t>للمهتمين فقط</t>
  </si>
  <si>
    <t>رابط الشراء</t>
  </si>
  <si>
    <t>SMS</t>
  </si>
  <si>
    <t>فقط للي تفاعلوا</t>
  </si>
  <si>
    <t>تذكير أخير</t>
  </si>
  <si>
    <t>⏰ آخر يوم للعرض الخاص! [الاسم] لا تفوّت الفرصة. [رابط] 🚀</t>
  </si>
  <si>
    <t>للي ما اشتروا</t>
  </si>
  <si>
    <t>شراء مباشر</t>
  </si>
  <si>
    <t>تذكير نهائي</t>
  </si>
  <si>
    <t>🔄 تسلسل إعادة التنشيط — لاستعادة العملاء الخاملين</t>
  </si>
  <si>
    <t>القناة</t>
  </si>
  <si>
    <t>العنوان / الموضوع</t>
  </si>
  <si>
    <t>المحتوى</t>
  </si>
  <si>
    <t>الشرط</t>
  </si>
  <si>
    <t>بعد 30 يوم خمول</t>
  </si>
  <si>
    <t>إيميل</t>
  </si>
  <si>
    <t>وحشتنا! 💚 وش صار معك؟</t>
  </si>
  <si>
    <t>رسالة شخصية + عرض محتوى حصري جديد</t>
  </si>
  <si>
    <t>ما فتح إيميل لمدة 30 يوم</t>
  </si>
  <si>
    <t>إعادة التفاعل</t>
  </si>
  <si>
    <t>شاهد المحتوى الجديد</t>
  </si>
  <si>
    <t>نبرة ودية وشخصية</t>
  </si>
  <si>
    <t>بعد 45 يوم خمول</t>
  </si>
  <si>
    <t>مرحبا [الاسم]! عندنا تحديثات كبيرة 🚀</t>
  </si>
  <si>
    <t>رسالة مباشرة + رابط لمحتوى جديد</t>
  </si>
  <si>
    <t>لم يتفاعل مع إيميل إعادة التنشيط</t>
  </si>
  <si>
    <t>محاولة ثانية</t>
  </si>
  <si>
    <t>شوف التحديثات</t>
  </si>
  <si>
    <t>أكثر مباشرة</t>
  </si>
  <si>
    <t>بعد 60 يوم خمول</t>
  </si>
  <si>
    <t>آخر رسالة: عرض خاص لك فقط 🎁</t>
  </si>
  <si>
    <t>عرض حصري + خصم خاص للعودة</t>
  </si>
  <si>
    <t>لا يزال خامل</t>
  </si>
  <si>
    <t>محاولة أخيرة</t>
  </si>
  <si>
    <t>استفد من العرض الحصري</t>
  </si>
  <si>
    <t>إذا ما تفاعل → أرشف</t>
  </si>
  <si>
    <t>بعد 90 يوم خمول</t>
  </si>
  <si>
    <t>نظام</t>
  </si>
  <si>
    <t>نقل للقائمة الخاملة ✋</t>
  </si>
  <si>
    <t>أرشفة تلقائية من القائمة النشطة</t>
  </si>
  <si>
    <t>لم يتفاعل مع أي محاولة</t>
  </si>
  <si>
    <t>تنظيف القائمة</t>
  </si>
  <si>
    <t>—</t>
  </si>
  <si>
    <t>حافظ على نظافة القائمة</t>
  </si>
  <si>
    <t>⚙️ إعدادات الأتمتة — ManyChat + Zapier + أدوات التسويق</t>
  </si>
  <si>
    <t>📱 إعدادات ManyChat — الردود التلقائية والتدفقات</t>
  </si>
  <si>
    <t>رقم التدفق</t>
  </si>
  <si>
    <t>اسم التدفق (Flow Name)</t>
  </si>
  <si>
    <t>البيانات المحفوظة</t>
  </si>
  <si>
    <t>Zapier Action</t>
  </si>
  <si>
    <t>ترحيب Lead Magnet</t>
  </si>
  <si>
    <t>تعليق يحتوي: كتاب / مجاني / أبي</t>
  </si>
  <si>
    <t>Instagram</t>
  </si>
  <si>
    <t>إرسال رسالة DM + رابط التحميل تلقائياً</t>
  </si>
  <si>
    <t>الاسم، اسم المستخدم، الإيميل (بعد الطلب)</t>
  </si>
  <si>
    <t>→ إضافة لقائمة Email + Google Sheets</t>
  </si>
  <si>
    <t>⬜ جاهز للربط</t>
  </si>
  <si>
    <t>تأهيل العميل</t>
  </si>
  <si>
    <t>رد DM يحتوي: سعر / كورس / كم</t>
  </si>
  <si>
    <t>Instagram / Facebook</t>
  </si>
  <si>
    <t>سؤال تأهيل → تصنيف → توجيه للعرض المناسب</t>
  </si>
  <si>
    <t>نوع الاهتمام، الميزانية، التحدي</t>
  </si>
  <si>
    <t>→ تحديث CRM + إضافة Tag</t>
  </si>
  <si>
    <t>متابع جديد</t>
  </si>
  <si>
    <t>متابعة حساب جديدة (New Follower)</t>
  </si>
  <si>
    <t>رسالة ترحيب + عرض هدية مجانية</t>
  </si>
  <si>
    <t>تاريخ المتابعة، المصدر</t>
  </si>
  <si>
    <t>→ إضافة لقائمة 'متابعين جدد'</t>
  </si>
  <si>
    <t>رد على Story</t>
  </si>
  <si>
    <t>رد يحتوي: نتائج / كيف / طريقة</t>
  </si>
  <si>
    <t>Instagram Stories</t>
  </si>
  <si>
    <t>تسلسل 3 رسائل → خيارات → توجيه</t>
  </si>
  <si>
    <t>الاختيار (مبتدئ/متوسط/متقدم)</t>
  </si>
  <si>
    <t>→ تصنيف في CRM حسب المستوى</t>
  </si>
  <si>
    <t>ضغط على زر 'احجز مكالمة'</t>
  </si>
  <si>
    <t>Instagram / الموقع</t>
  </si>
  <si>
    <t>تأكيد الحجز + تذكيرات تلقائية</t>
  </si>
  <si>
    <t>التاريخ، الوقت، رقم الهاتف</t>
  </si>
  <si>
    <t>→ Google Calendar + تذكير WhatsApp</t>
  </si>
  <si>
    <t>إعادة استهداف</t>
  </si>
  <si>
    <t>لم يكمل الشراء (Abandoned)</t>
  </si>
  <si>
    <t>Facebook Messenger</t>
  </si>
  <si>
    <t>تذكير + عرض خاص + شهادة عميل</t>
  </si>
  <si>
    <t>آخر صفحة زارها، المنتج</t>
  </si>
  <si>
    <t>→ Facebook Custom Audience</t>
  </si>
  <si>
    <t>⚡ إعدادات Zapier — التدفقات الأوتوماتيكية بين المنصات (Zaps)</t>
  </si>
  <si>
    <t>رقم الـ Zap</t>
  </si>
  <si>
    <t>اسم الـ Zap</t>
  </si>
  <si>
    <t>Trigger (المحفّز)</t>
  </si>
  <si>
    <t>تطبيق المصدر</t>
  </si>
  <si>
    <t>Action (الإجراء)</t>
  </si>
  <si>
    <t>تطبيق الوجهة</t>
  </si>
  <si>
    <t>البيانات المنقولة</t>
  </si>
  <si>
    <t>Zap 1</t>
  </si>
  <si>
    <t>Lead Magnet → Email List</t>
  </si>
  <si>
    <t>ManyChat: جمع إيميل جديد</t>
  </si>
  <si>
    <t>إضافة جهة اتصال جديدة</t>
  </si>
  <si>
    <t>Mailchimp / ConvertKit</t>
  </si>
  <si>
    <t>الاسم، الإيميل، المصدر، التاريخ</t>
  </si>
  <si>
    <t>Zap 2</t>
  </si>
  <si>
    <t>Lead Magnet → CRM</t>
  </si>
  <si>
    <t>ManyChat: عميل محتمل جديد</t>
  </si>
  <si>
    <t>إنشاء سجل جديد في CRM</t>
  </si>
  <si>
    <t>Google Sheets / HubSpot</t>
  </si>
  <si>
    <t>الاسم، الإيميل، الهاتف، المصدر، التصنيف</t>
  </si>
  <si>
    <t>Zap 3</t>
  </si>
  <si>
    <t>Form → Email Sequence</t>
  </si>
  <si>
    <t>موقع: تعبئة نموذج جديد</t>
  </si>
  <si>
    <t>Typeform / Google Forms</t>
  </si>
  <si>
    <t>إضافة لتسلسل إيميلات</t>
  </si>
  <si>
    <t>Mailchimp / ActiveCampaign</t>
  </si>
  <si>
    <t>الاسم، الإيميل، نوع الاهتمام</t>
  </si>
  <si>
    <t>Zap 4</t>
  </si>
  <si>
    <t>Purchase → Thank You</t>
  </si>
  <si>
    <t>بوابة دفع: عملية شراء ناجحة</t>
  </si>
  <si>
    <t>Stripe / PayPal</t>
  </si>
  <si>
    <t>إرسال رسالة شكر + وصول المنتج</t>
  </si>
  <si>
    <t>Email + WhatsApp</t>
  </si>
  <si>
    <t>اسم المنتج، المبلغ، الإيميل</t>
  </si>
  <si>
    <t>Zap 5</t>
  </si>
  <si>
    <t>Purchase → Upsell</t>
  </si>
  <si>
    <t>بوابة دفع: شراء منتج معين</t>
  </si>
  <si>
    <t>Stripe</t>
  </si>
  <si>
    <t>إضافة لتسلسل Upsell بعد 3 أيام</t>
  </si>
  <si>
    <t>Mailchimp / ManyChat</t>
  </si>
  <si>
    <t>المنتج المشترى، التاريخ، القيمة</t>
  </si>
  <si>
    <t>Zap 6</t>
  </si>
  <si>
    <t>Webinar Registration</t>
  </si>
  <si>
    <t>تسجيل في ورشة عمل</t>
  </si>
  <si>
    <t>Typeform / Calendly</t>
  </si>
  <si>
    <t>إضافة للقائمة + تذكيرات</t>
  </si>
  <si>
    <t>Email + Google Calendar</t>
  </si>
  <si>
    <t>الاسم، الإيميل، تاريخ الورشة</t>
  </si>
  <si>
    <t>Zap 7</t>
  </si>
  <si>
    <t>Inactive → Re-engage</t>
  </si>
  <si>
    <t>إيميل: لم يفتح لمدة 30 يوم</t>
  </si>
  <si>
    <t>Mailchimp</t>
  </si>
  <si>
    <t>نقل لتسلسل إعادة التنشيط</t>
  </si>
  <si>
    <t>ManyChat + WhatsApp</t>
  </si>
  <si>
    <t>آخر تفاعل، عدد الإيميلات المفتوحة</t>
  </si>
  <si>
    <t>Zap 8</t>
  </si>
  <si>
    <t>Review Request</t>
  </si>
  <si>
    <t>Stripe (Delay)</t>
  </si>
  <si>
    <t>إرسال طلب تقييم</t>
  </si>
  <si>
    <t>Email + Google Forms</t>
  </si>
  <si>
    <t>اسم المنتج، اسم العميل، رابط التقييم</t>
  </si>
  <si>
    <t>🔗 خريطة الربط بين المنصات — كيف تتصل الأدوات ببعضها</t>
  </si>
  <si>
    <t>المنصة / الأداة</t>
  </si>
  <si>
    <t>الدور في النظام</t>
  </si>
  <si>
    <t>تتصل بـ</t>
  </si>
  <si>
    <t>نوع الاتصال</t>
  </si>
  <si>
    <t>البيانات المتبادلة</t>
  </si>
  <si>
    <t>التكلفة الشهرية</t>
  </si>
  <si>
    <t>البديل المجاني</t>
  </si>
  <si>
    <t>الردود التلقائية + جمع البيانات</t>
  </si>
  <si>
    <t>Instagram + Facebook + Zapier</t>
  </si>
  <si>
    <t>API مباشر</t>
  </si>
  <si>
    <t>بيانات العملاء، التفاعلات، الردود</t>
  </si>
  <si>
    <t>مجاني (حتى 1000 جهة) / $15+</t>
  </si>
  <si>
    <t>🔴 أول شي</t>
  </si>
  <si>
    <t>Zapier</t>
  </si>
  <si>
    <t>ربط المنصات + نقل البيانات تلقائياً</t>
  </si>
  <si>
    <t>كل المنصات</t>
  </si>
  <si>
    <t>Webhook + API</t>
  </si>
  <si>
    <t>بيانات العملاء، الأحداث، المحفّزات</t>
  </si>
  <si>
    <t>مجاني (100 مهمة) / $20+</t>
  </si>
  <si>
    <t>Make.com</t>
  </si>
  <si>
    <t>إدارة قوائم البريد + التسلسلات</t>
  </si>
  <si>
    <t>Zapier + الموقع</t>
  </si>
  <si>
    <t>API عبر Zapier</t>
  </si>
  <si>
    <t>الإيميلات، التسلسلات، الإحصائيات</t>
  </si>
  <si>
    <t>مجاني (حتى 500) / $13+</t>
  </si>
  <si>
    <t>MailerLite</t>
  </si>
  <si>
    <t>🟡 ثاني</t>
  </si>
  <si>
    <t>Google Sheets</t>
  </si>
  <si>
    <t>CRM بسيط + قاعدة بيانات</t>
  </si>
  <si>
    <t>Zapier + ManyChat</t>
  </si>
  <si>
    <t>كل بيانات العملاء المجمّعة</t>
  </si>
  <si>
    <t>بوابة الدفع + معالجة المبيعات</t>
  </si>
  <si>
    <t>Webhook</t>
  </si>
  <si>
    <t>المبيعات، المبالغ، بيانات العملاء</t>
  </si>
  <si>
    <t>2.9% + 30¢ لكل عملية</t>
  </si>
  <si>
    <t>Tap (للخليج)</t>
  </si>
  <si>
    <t>🟢 ثالث</t>
  </si>
  <si>
    <t>المحتوى + التفاعل + جلب العملاء</t>
  </si>
  <si>
    <t>API (عبر ManyChat)</t>
  </si>
  <si>
    <t>التعليقات، الرسائل، المتابعين</t>
  </si>
  <si>
    <t>الموقع الإلكتروني</t>
  </si>
  <si>
    <t>صفحات الهبوط + النماذج + المبيعات</t>
  </si>
  <si>
    <t>Zapier + Stripe</t>
  </si>
  <si>
    <t>Forms + Webhook</t>
  </si>
  <si>
    <t>بيانات النماذج، المبيعات</t>
  </si>
  <si>
    <t>Carrd: $19/سنة — Systeme.io: مجاني</t>
  </si>
  <si>
    <t>Systeme.io</t>
  </si>
  <si>
    <t>WhatsApp Business</t>
  </si>
  <si>
    <t>التواصل المباشر + المتابعة</t>
  </si>
  <si>
    <t>Zapier (عبر Twilio)</t>
  </si>
  <si>
    <t>API</t>
  </si>
  <si>
    <t>الرسائل، التأكيدات، التذكيرات</t>
  </si>
  <si>
    <t>Twilio: ~$0.005/رسالة</t>
  </si>
  <si>
    <t>WhatsApp Business App (مجاني)</t>
  </si>
  <si>
    <t>✅ قائمة التحقق — خطوات الإعداد بالترتيب</t>
  </si>
  <si>
    <t>الوقت المتوقع</t>
  </si>
  <si>
    <t>التفاصيل</t>
  </si>
  <si>
    <t>الموارد / الروابط</t>
  </si>
  <si>
    <t>تم؟</t>
  </si>
  <si>
    <t>إنشاء حساب ManyChat وربطه بـ Instagram</t>
  </si>
  <si>
    <t>30 دقيقة</t>
  </si>
  <si>
    <t>اذهب لـ manychat.com → سجّل → اربط حساب Instagram Business</t>
  </si>
  <si>
    <t>manychat.com</t>
  </si>
  <si>
    <t>يحتاج حساب Instagram Business</t>
  </si>
  <si>
    <t>إنشاء حساب Zapier</t>
  </si>
  <si>
    <t>15 دقيقة</t>
  </si>
  <si>
    <t>اذهب لـ zapier.com → سجّل بإيميلك → فعّل الحساب</t>
  </si>
  <si>
    <t>zapier.com</t>
  </si>
  <si>
    <t>الخطة المجانية كافية للبداية</t>
  </si>
  <si>
    <t>إنشاء حساب بريد إلكتروني (Email Marketing)</t>
  </si>
  <si>
    <t>Mailchimp/ConvertKit</t>
  </si>
  <si>
    <t>سجّل → أنشئ أول قائمة → صمم إيميل الترحيب</t>
  </si>
  <si>
    <t>mailchimp.com أو convertkit.com</t>
  </si>
  <si>
    <t>اختر واحد فقط</t>
  </si>
  <si>
    <t>إنشاء Google Sheet كـ CRM</t>
  </si>
  <si>
    <t>20 دقيقة</t>
  </si>
  <si>
    <t>أنشئ جدول بأعمدة: الاسم، الإيميل، الهاتف، المصدر، التاريخ، التصنيف</t>
  </si>
  <si>
    <t>sheets.google.com</t>
  </si>
  <si>
    <t>القالب متوفر في هذا الملف</t>
  </si>
  <si>
    <t>بناء أول Flow في ManyChat</t>
  </si>
  <si>
    <t>45 دقيقة</t>
  </si>
  <si>
    <t>Flow: تعليق → رسالة ترحيب → طلب إيميل → إرسال Lead Magnet</t>
  </si>
  <si>
    <t>استخدم القوالب من ورقة تسلسل الرسائل</t>
  </si>
  <si>
    <t>ربط ManyChat بـ Zapier (أول Zap)</t>
  </si>
  <si>
    <t>Trigger: ManyChat New Subscriber → Action: Google Sheets Add Row</t>
  </si>
  <si>
    <t>اختبر بإرسال تعليق تجريبي</t>
  </si>
  <si>
    <t>إعداد تسلسل الإيميلات</t>
  </si>
  <si>
    <t>60 دقيقة</t>
  </si>
  <si>
    <t>أنشئ 8 إيميلات حسب الجدول في ورقة 'تسلسل الرسائل'</t>
  </si>
  <si>
    <t>انسخ المحتوى من الورقة</t>
  </si>
  <si>
    <t>إنشاء صفحة هبوط / Lead Magnet</t>
  </si>
  <si>
    <t>Systeme.io / Carrd</t>
  </si>
  <si>
    <t>صفحة بسيطة: عنوان جذاب + وصف + نموذج تسجيل</t>
  </si>
  <si>
    <t>systeme.io أو carrd.co</t>
  </si>
  <si>
    <t>صفحة واحدة كافية للبداية</t>
  </si>
  <si>
    <t>ربط صفحة الهبوط بـ Zapier</t>
  </si>
  <si>
    <t>Trigger: Form Submission → Action: Add to Email List + CRM</t>
  </si>
  <si>
    <t>اختبار النظام الكامل</t>
  </si>
  <si>
    <t>الكل</t>
  </si>
  <si>
    <t>اختبر كل تدفق من البداية للنهاية: تعليق → رسالة → إيميل → CRM</t>
  </si>
  <si>
    <t>اطلب من صديق يجرّب معك</t>
  </si>
  <si>
    <t>عدد المكتملة:</t>
  </si>
  <si>
    <t>🗺️ خارطة الربط بين أوراق النظام — System Integration Roadmap</t>
  </si>
  <si>
    <t>الورقة</t>
  </si>
  <si>
    <t>المدخلات (Input)</t>
  </si>
  <si>
    <t>المخرجات (Output)</t>
  </si>
  <si>
    <t>الأوراق المرتبطة</t>
  </si>
  <si>
    <t>الأدوات المستخدمة</t>
  </si>
  <si>
    <t>داشبورد مركزية — عرض شامل لأداء جميع القنوات</t>
  </si>
  <si>
    <t>صيغ تلقائية من متابعة الأداء</t>
  </si>
  <si>
    <t>KPIs ملخصة + حالة التحقيق (✅⚠️❌)</t>
  </si>
  <si>
    <t>متابعة الأداء</t>
  </si>
  <si>
    <t>مراقبة يومية</t>
  </si>
  <si>
    <t>Excel</t>
  </si>
  <si>
    <t>🎯 بناء العرض الضارب</t>
  </si>
  <si>
    <t>تصميم العرض حسب Hormozi Value Equation</t>
  </si>
  <si>
    <t>إدخال يدوي — تحليل السوق والعميل</t>
  </si>
  <si>
    <t>Grand Slam Offer + Value Ladder</t>
  </si>
  <si>
    <t>توليد العملاء → قمع المبيعات</t>
  </si>
  <si>
    <t>البداية</t>
  </si>
  <si>
    <t>Core Four + Lead Magnets + ManyChat Flows</t>
  </si>
  <si>
    <t>العرض من بناء العرض الضارب</t>
  </si>
  <si>
    <t>عملاء محتملين → CRM</t>
  </si>
  <si>
    <t>بناء العرض → قمع المبيعات + تسلسل الرسائل</t>
  </si>
  <si>
    <t>الأسبوع 1-2</t>
  </si>
  <si>
    <t>Instagram, ManyChat, Zapier</t>
  </si>
  <si>
    <t>📊 قمع المبيعات</t>
  </si>
  <si>
    <t>رحلة العميل: وعي → اهتمام → قرار → شراء → ولاء</t>
  </si>
  <si>
    <t>العملاء من توليد العملاء</t>
  </si>
  <si>
    <t>عملاء حقيقيين + تكرار الشراء</t>
  </si>
  <si>
    <t>توليد العملاء → تسلسل الرسائل</t>
  </si>
  <si>
    <t>مستمر</t>
  </si>
  <si>
    <t>Landing Page, CRM</t>
  </si>
  <si>
    <t>ManyChat + Email + WhatsApp الأتمتة الكاملة</t>
  </si>
  <si>
    <t>العميل من توليد العملاء + العرض من بناء العرض</t>
  </si>
  <si>
    <t>تفاعل آلي + Nurture + مبيعات</t>
  </si>
  <si>
    <t>توليد العملاء + قمع المبيعات → إعدادات الأتمتة</t>
  </si>
  <si>
    <t>الأسبوع 2-3</t>
  </si>
  <si>
    <t>ManyChat, Mailchimp, WhatsApp</t>
  </si>
  <si>
    <t>ربط كل الأدوات + Zapier + Flows</t>
  </si>
  <si>
    <t>التدفقات من تسلسل الرسائل</t>
  </si>
  <si>
    <t>نظام متكامل يعمل آلياً 24/7</t>
  </si>
  <si>
    <t>تسلسل الرسائل + توليد العملاء</t>
  </si>
  <si>
    <t>الأسبوع 3-4</t>
  </si>
  <si>
    <t>ManyChat, Zapier, Google Sheets</t>
  </si>
  <si>
    <t>قياس KPIs لكل قناة + نسبة التحقيق</t>
  </si>
  <si>
    <t>إدخال يدوي: الهدف + النتيجة الفعلية</t>
  </si>
  <si>
    <t>نسب تحقيق تلقائية → لوحة التحكم</t>
  </si>
  <si>
    <t>→ لوحة التحكم (تغذية تلقائية)</t>
  </si>
  <si>
    <t>مستمر أسبوعياً</t>
  </si>
  <si>
    <t>Excel + تحليلات المنصات</t>
  </si>
  <si>
    <t>📊 متابعة الأداء — مؤشرات الأداء الرئيسية</t>
  </si>
  <si>
    <t>📱 القسم الأول: مؤشرات أداء السوشيال ميديا</t>
  </si>
  <si>
    <t>النتيجة الفعلية</t>
  </si>
  <si>
    <t>التكرار</t>
  </si>
  <si>
    <t>المسؤول</t>
  </si>
  <si>
    <t>شهري</t>
  </si>
  <si>
    <t>أسبوعي</t>
  </si>
  <si>
    <t>إعجابات + تعليقات ÷ متابعين</t>
  </si>
  <si>
    <t>يومي</t>
  </si>
  <si>
    <t>عبر أتمتة ماني شات</t>
  </si>
  <si>
    <t>عدد التعليقات بكلمة مفتاحية</t>
  </si>
  <si>
    <t>تعليقات تحتوي كلمة مفتاحية محددة</t>
  </si>
  <si>
    <t>معدل النقر على الرابط الحيوي</t>
  </si>
  <si>
    <t>رابط صفحة الهبوط</t>
  </si>
  <si>
    <t>عدد مشاهدات الريلز والقصص</t>
  </si>
  <si>
    <t>إنفاق ÷ عملاء محتملين</t>
  </si>
  <si>
    <t>معدل التحويل من متابع لعميل</t>
  </si>
  <si>
    <t>🌐 القسم الثاني: مؤشرات أداء الموقع الإلكتروني</t>
  </si>
  <si>
    <t>معدل الارتداد</t>
  </si>
  <si>
    <t>النسبة المثالية أقل من 40%</t>
  </si>
  <si>
    <t>عدد تسجيلات النماذج</t>
  </si>
  <si>
    <t>نماذج جمع البريد الإلكتروني</t>
  </si>
  <si>
    <t>تسجيلات ÷ زوار</t>
  </si>
  <si>
    <t>متوسط وقت البقاء في الصفحة</t>
  </si>
  <si>
    <t>كلما زاد الوقت كان أفضل</t>
  </si>
  <si>
    <t>📧 القسم الثالث: مؤشرات أداء البريد الإلكتروني</t>
  </si>
  <si>
    <t>لكل حملة</t>
  </si>
  <si>
    <t>المعدل المثالي 20-30%</t>
  </si>
  <si>
    <t>المعدل المثالي 3-5%</t>
  </si>
  <si>
    <t>معدل إلغاء الاشتراك</t>
  </si>
  <si>
    <t>يجب أن يكون أقل من 0.5%</t>
  </si>
  <si>
    <t>عدد الردود على الرسائل</t>
  </si>
  <si>
    <t>مؤشر على جودة المحتوى</t>
  </si>
  <si>
    <t>إجمالي الإيرادات من حملات البريد</t>
  </si>
  <si>
    <t>💰 القسم الرابع: مؤشرات المبيعات والإيرادات</t>
  </si>
  <si>
    <t>جميع المنتجات</t>
  </si>
  <si>
    <t>دورات + كتب إلكترونية</t>
  </si>
  <si>
    <t>إيرادات ÷ عدد الطلبات</t>
  </si>
  <si>
    <t>مشترين ÷ عملاء محتملين</t>
  </si>
  <si>
    <t>ربع سنوي</t>
  </si>
  <si>
    <t>متوسط إنفاق العميل الكلي</t>
  </si>
  <si>
    <t>(إيرادات - تكاليف) ÷ تكاليف</t>
  </si>
  <si>
    <t>عدد العملاء المتكررين</t>
  </si>
  <si>
    <t>عملاء اشتروا أكثر من مرة</t>
  </si>
  <si>
    <t>معدل استرداد الأموال</t>
  </si>
  <si>
    <t>يجب أن يكون أقل من 5%</t>
  </si>
  <si>
    <t>📈 ملخص الأداء العام</t>
  </si>
  <si>
    <t>الصيغة</t>
  </si>
  <si>
    <t>إجمالي مؤشرات محققة بنسبة 100%+</t>
  </si>
  <si>
    <t>إجمالي مؤشرات أقل من الهدف</t>
  </si>
  <si>
    <t>متوسط نسبة التحقيق الكلية</t>
  </si>
  <si>
    <t>عدد المؤشرات التي تحتاج مراجعة عاجلة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</si>
</sst>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;0;&quot;—&quot;"/>
    <numFmt numFmtId="165" formatCode="0.0%"/>
    <numFmt numFmtId="166" formatCode="0.0"/>
  </numFmts>
  <fonts count="42">
    <font>
      <sz val="11.0"/>
      <color theme="1"/>
      <name val="Calibri"/>
      <scheme val="minor"/>
    </font>
    <font>
      <b/>
      <sz val="10.0"/>
      <color rgb="FFFFFFFF"/>
      <name val="Calibri"/>
    </font>
    <font>
      <sz val="10.0"/>
      <color theme="1"/>
      <name val="Calibri"/>
    </font>
    <font>
      <i/>
      <sz val="10.0"/>
      <color rgb="FFBDC3C7"/>
      <name val="Calibri"/>
    </font>
    <font>
      <b/>
      <sz val="10.0"/>
      <color theme="1"/>
      <name val="Calibri"/>
    </font>
    <font>
      <b/>
      <sz val="10.0"/>
      <color rgb="FF1B2A4A"/>
      <name val="Calibri"/>
    </font>
    <font>
      <b/>
      <sz val="10.0"/>
      <color rgb="FF27AE60"/>
      <name val="Calibri"/>
    </font>
    <font>
      <b/>
      <sz val="10.0"/>
      <color rgb="FF0000FF"/>
      <name val="Calibri"/>
    </font>
    <font>
      <b/>
      <sz val="10.0"/>
      <color rgb="FFC0392B"/>
      <name val="Calibri"/>
    </font>
    <font>
      <sz val="10.0"/>
      <color rgb="FFC0392B"/>
      <name val="Calibri"/>
    </font>
    <font>
      <b/>
      <sz val="10.0"/>
      <color rgb="FFFFD700"/>
      <name val="Calibri"/>
    </font>
    <font>
      <sz val="10.0"/>
      <color rgb="FF0000FF"/>
      <name val="Calibri"/>
    </font>
    <font>
      <sz val="10.0"/>
      <color rgb="FF27AE60"/>
      <name val="Calibri"/>
    </font>
    <font>
      <b/>
      <sz val="18.0"/>
      <color rgb="FFFFFFFF"/>
      <name val="Calibri"/>
    </font>
    <font/>
    <font>
      <sz val="11.0"/>
      <color theme="1"/>
      <name val="Calibri"/>
    </font>
    <font>
      <i/>
      <sz val="11.0"/>
      <color rgb="FF1B2A4A"/>
      <name val="Calibri"/>
    </font>
    <font>
      <b/>
      <sz val="14.0"/>
      <color rgb="FF1B2A4A"/>
      <name val="Calibri"/>
    </font>
    <font>
      <sz val="9.0"/>
      <color theme="1"/>
      <name val="Calibri"/>
    </font>
    <font>
      <b/>
      <sz val="22.0"/>
      <color rgb="FF27AE60"/>
      <name val="Calibri"/>
    </font>
    <font>
      <b/>
      <sz val="22.0"/>
      <color rgb="FFE74C3C"/>
      <name val="Calibri"/>
    </font>
    <font>
      <b/>
      <sz val="18.0"/>
      <color rgb="FF2C3E50"/>
      <name val="Calibri"/>
    </font>
    <font>
      <b/>
      <sz val="14.0"/>
      <color rgb="FFFFFFFF"/>
      <name val="Calibri"/>
    </font>
    <font>
      <b/>
      <sz val="20.0"/>
      <color rgb="FF27AE60"/>
      <name val="Calibri"/>
    </font>
    <font>
      <b/>
      <sz val="20.0"/>
      <color rgb="FFE74C3C"/>
      <name val="Calibri"/>
    </font>
    <font>
      <b/>
      <sz val="14.0"/>
      <color theme="1"/>
      <name val="Calibri"/>
    </font>
    <font>
      <b/>
      <sz val="12.0"/>
      <color rgb="FFFFFFFF"/>
      <name val="Calibri"/>
    </font>
    <font>
      <b/>
      <sz val="11.0"/>
      <color theme="1"/>
      <name val="Calibri"/>
    </font>
    <font>
      <b/>
      <sz val="16.0"/>
      <color rgb="FFFFFFFF"/>
      <name val="Calibri"/>
    </font>
    <font>
      <i/>
      <sz val="11.0"/>
      <color rgb="FF7B241C"/>
      <name val="Calibri"/>
    </font>
    <font>
      <b/>
      <sz val="13.0"/>
      <color rgb="FFFFFFFF"/>
      <name val="Calibri"/>
    </font>
    <font>
      <b/>
      <sz val="10.0"/>
      <color rgb="FF8E44AD"/>
      <name val="Calibri"/>
    </font>
    <font>
      <b/>
      <sz val="11.0"/>
      <color rgb="FFD35400"/>
      <name val="Calibri"/>
    </font>
    <font>
      <color theme="1"/>
      <name val="Calibri"/>
      <scheme val="minor"/>
    </font>
    <font>
      <b/>
      <sz val="9.0"/>
      <color theme="1"/>
      <name val="Calibri"/>
    </font>
    <font>
      <b/>
      <sz val="9.0"/>
      <color rgb="FFFFFFFF"/>
      <name val="Calibri"/>
    </font>
    <font>
      <b/>
      <sz val="10.0"/>
      <color rgb="FF2E86C1"/>
      <name val="Calibri"/>
    </font>
    <font>
      <b/>
      <sz val="10.0"/>
      <color rgb="FF1ABC9C"/>
      <name val="Calibri"/>
    </font>
    <font>
      <b/>
      <sz val="10.0"/>
      <color rgb="FF6C3483"/>
      <name val="Calibri"/>
    </font>
    <font>
      <b/>
      <sz val="10.0"/>
      <color rgb="FFE67E22"/>
      <name val="Calibri"/>
    </font>
    <font>
      <b/>
      <sz val="10.0"/>
      <color rgb="FF2980B9"/>
      <name val="Calibri"/>
    </font>
    <font>
      <b/>
      <sz val="13.0"/>
      <color theme="1"/>
      <name val="Calibri"/>
    </font>
  </fonts>
  <fills count="39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2E4057"/>
        <bgColor rgb="FF2E4057"/>
      </patternFill>
    </fill>
    <fill>
      <patternFill patternType="solid">
        <fgColor rgb="FF2C3E50"/>
        <bgColor rgb="FF2C3E50"/>
      </patternFill>
    </fill>
    <fill>
      <patternFill patternType="solid">
        <fgColor rgb="FFD6DBDF"/>
        <bgColor rgb="FFD6DBDF"/>
      </patternFill>
    </fill>
    <fill>
      <patternFill patternType="solid">
        <fgColor rgb="FFF8F9FA"/>
        <bgColor rgb="FFF8F9FA"/>
      </patternFill>
    </fill>
    <fill>
      <patternFill patternType="solid">
        <fgColor rgb="FF2980B9"/>
        <bgColor rgb="FF2980B9"/>
      </patternFill>
    </fill>
    <fill>
      <patternFill patternType="solid">
        <fgColor rgb="FFD6EAF8"/>
        <bgColor rgb="FFD6EAF8"/>
      </patternFill>
    </fill>
    <fill>
      <patternFill patternType="solid">
        <fgColor rgb="FFEBF5FB"/>
        <bgColor rgb="FFEBF5FB"/>
      </patternFill>
    </fill>
    <fill>
      <patternFill patternType="solid">
        <fgColor rgb="FF27AE60"/>
        <bgColor rgb="FF27AE60"/>
      </patternFill>
    </fill>
    <fill>
      <patternFill patternType="solid">
        <fgColor rgb="FFD5F5E3"/>
        <bgColor rgb="FFD5F5E3"/>
      </patternFill>
    </fill>
    <fill>
      <patternFill patternType="solid">
        <fgColor rgb="FFEAFAF1"/>
        <bgColor rgb="FFEAFAF1"/>
      </patternFill>
    </fill>
    <fill>
      <patternFill patternType="solid">
        <fgColor rgb="FF8E44AD"/>
        <bgColor rgb="FF8E44AD"/>
      </patternFill>
    </fill>
    <fill>
      <patternFill patternType="solid">
        <fgColor rgb="FFE8DAEF"/>
        <bgColor rgb="FFE8DAEF"/>
      </patternFill>
    </fill>
    <fill>
      <patternFill patternType="solid">
        <fgColor rgb="FFF4ECF7"/>
        <bgColor rgb="FFF4ECF7"/>
      </patternFill>
    </fill>
    <fill>
      <patternFill patternType="solid">
        <fgColor rgb="FFD4AC0D"/>
        <bgColor rgb="FFD4AC0D"/>
      </patternFill>
    </fill>
    <fill>
      <patternFill patternType="solid">
        <fgColor rgb="FFFEF9E7"/>
        <bgColor rgb="FFFEF9E7"/>
      </patternFill>
    </fill>
    <fill>
      <patternFill patternType="solid">
        <fgColor rgb="FFFDFBE4"/>
        <bgColor rgb="FFFDFBE4"/>
      </patternFill>
    </fill>
    <fill>
      <patternFill patternType="solid">
        <fgColor rgb="FFE74C3C"/>
        <bgColor rgb="FFE74C3C"/>
      </patternFill>
    </fill>
    <fill>
      <patternFill patternType="solid">
        <fgColor rgb="FFFDEDEC"/>
        <bgColor rgb="FFFDEDEC"/>
      </patternFill>
    </fill>
    <fill>
      <patternFill patternType="solid">
        <fgColor rgb="FFE8EDF3"/>
        <bgColor rgb="FFE8EDF3"/>
      </patternFill>
    </fill>
    <fill>
      <patternFill patternType="solid">
        <fgColor rgb="FFD4E6F1"/>
        <bgColor rgb="FFD4E6F1"/>
      </patternFill>
    </fill>
    <fill>
      <patternFill patternType="solid">
        <fgColor rgb="FF2E86C1"/>
        <bgColor rgb="FF2E86C1"/>
      </patternFill>
    </fill>
    <fill>
      <patternFill patternType="solid">
        <fgColor rgb="FFE67E22"/>
        <bgColor rgb="FFE67E22"/>
      </patternFill>
    </fill>
    <fill>
      <patternFill patternType="solid">
        <fgColor rgb="FFFDF2E9"/>
        <bgColor rgb="FFFDF2E9"/>
      </patternFill>
    </fill>
    <fill>
      <patternFill patternType="solid">
        <fgColor rgb="FFF2F3F4"/>
        <bgColor rgb="FFF2F3F4"/>
      </patternFill>
    </fill>
    <fill>
      <patternFill patternType="solid">
        <fgColor rgb="FFE8EDF2"/>
        <bgColor rgb="FFE8EDF2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F0F0F0"/>
        <bgColor rgb="FFF0F0F0"/>
      </patternFill>
    </fill>
    <fill>
      <patternFill patternType="solid">
        <fgColor rgb="FFFAD7A0"/>
        <bgColor rgb="FFFAD7A0"/>
      </patternFill>
    </fill>
    <fill>
      <patternFill patternType="solid">
        <fgColor rgb="FFD2B4DE"/>
        <bgColor rgb="FFD2B4DE"/>
      </patternFill>
    </fill>
    <fill>
      <patternFill patternType="solid">
        <fgColor rgb="FFAED6F1"/>
        <bgColor rgb="FFAED6F1"/>
      </patternFill>
    </fill>
    <fill>
      <patternFill patternType="solid">
        <fgColor rgb="FFABEBC6"/>
        <bgColor rgb="FFABEBC6"/>
      </patternFill>
    </fill>
    <fill>
      <patternFill patternType="solid">
        <fgColor rgb="FFD5DBDB"/>
        <bgColor rgb="FFD5DBDB"/>
      </patternFill>
    </fill>
    <fill>
      <patternFill patternType="solid">
        <fgColor rgb="FF3498DB"/>
        <bgColor rgb="FF3498DB"/>
      </patternFill>
    </fill>
    <fill>
      <patternFill patternType="solid">
        <fgColor rgb="FF6C3483"/>
        <bgColor rgb="FF6C3483"/>
      </patternFill>
    </fill>
    <fill>
      <patternFill patternType="solid">
        <fgColor rgb="FFD1F2EB"/>
        <bgColor rgb="FFD1F2EB"/>
      </patternFill>
    </fill>
  </fills>
  <borders count="3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E0E0E0"/>
      </right>
      <top/>
      <bottom style="thin">
        <color rgb="FFE0E0E0"/>
      </bottom>
    </border>
    <border>
      <left style="thin">
        <color rgb="FFE0E0E0"/>
      </left>
      <right style="thin">
        <color rgb="FFE0E0E0"/>
      </right>
      <top/>
      <bottom style="thin">
        <color rgb="FFE0E0E0"/>
      </bottom>
    </border>
    <border>
      <left style="thin">
        <color rgb="FFE0E0E0"/>
      </left>
      <right/>
      <top/>
      <bottom style="thin">
        <color rgb="FFE0E0E0"/>
      </bottom>
    </border>
    <border>
      <left/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/>
      <top style="thin">
        <color rgb="FFE0E0E0"/>
      </top>
      <bottom style="thin">
        <color rgb="FFE0E0E0"/>
      </bottom>
    </border>
    <border>
      <left/>
      <right style="thin">
        <color rgb="FFE0E0E0"/>
      </right>
      <top style="thin">
        <color rgb="FFE0E0E0"/>
      </top>
      <bottom/>
    </border>
    <border>
      <left style="thin">
        <color rgb="FFE0E0E0"/>
      </left>
      <right style="thin">
        <color rgb="FFE0E0E0"/>
      </right>
      <top style="thin">
        <color rgb="FFE0E0E0"/>
      </top>
      <bottom/>
    </border>
    <border>
      <left style="thin">
        <color rgb="FFE0E0E0"/>
      </left>
      <right/>
      <top style="thin">
        <color rgb="FFE0E0E0"/>
      </top>
      <bottom/>
    </border>
    <border>
      <left/>
      <right style="thin">
        <color rgb="FFE0E0E0"/>
      </right>
      <top style="thin">
        <color rgb="FFE0E0E0"/>
      </top>
      <bottom style="medium">
        <color rgb="FFBDC3C7"/>
      </bottom>
    </border>
    <border>
      <left style="thin">
        <color rgb="FFE0E0E0"/>
      </left>
      <right/>
      <top style="thin">
        <color rgb="FFE0E0E0"/>
      </top>
      <bottom style="medium">
        <color rgb="FFBDC3C7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BDC3C7"/>
      </bottom>
    </border>
    <border>
      <right style="thin">
        <color rgb="FFE0E0E0"/>
      </right>
      <top style="thin">
        <color rgb="FFE0E0E0"/>
      </top>
    </border>
    <border>
      <left style="thin">
        <color rgb="FFE0E0E0"/>
      </left>
      <right style="thin">
        <color rgb="FFE0E0E0"/>
      </right>
      <top style="thin">
        <color rgb="FFE0E0E0"/>
      </top>
    </border>
    <border>
      <left style="thin">
        <color rgb="FFE0E0E0"/>
      </left>
      <top style="thin">
        <color rgb="FFE0E0E0"/>
      </top>
    </border>
    <border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top style="thin">
        <color rgb="FFE0E0E0"/>
      </top>
      <bottom style="thin">
        <color rgb="FFE0E0E0"/>
      </bottom>
    </border>
    <border>
      <left style="medium">
        <color rgb="FF1B2A4A"/>
      </left>
      <top style="medium">
        <color rgb="FF1B2A4A"/>
      </top>
      <bottom/>
    </border>
    <border>
      <top style="medium">
        <color rgb="FF1B2A4A"/>
      </top>
      <bottom/>
    </border>
    <border>
      <right style="medium">
        <color rgb="FF1B2A4A"/>
      </right>
      <top style="medium">
        <color rgb="FF1B2A4A"/>
      </top>
      <bottom/>
    </border>
    <border>
      <left style="medium">
        <color rgb="FF1B2A4A"/>
      </left>
      <right style="thin">
        <color rgb="FFBDC3C7"/>
      </right>
      <top/>
      <bottom style="thin">
        <color rgb="FFBDC3C7"/>
      </bottom>
    </border>
    <border>
      <left style="thin">
        <color rgb="FFBDC3C7"/>
      </left>
      <right style="thin">
        <color rgb="FFBDC3C7"/>
      </right>
      <top/>
      <bottom style="thin">
        <color rgb="FFBDC3C7"/>
      </bottom>
    </border>
    <border>
      <left style="thin">
        <color rgb="FFBDC3C7"/>
      </left>
      <right style="medium">
        <color rgb="FF1B2A4A"/>
      </right>
      <top/>
      <bottom style="thin">
        <color rgb="FFBDC3C7"/>
      </bottom>
    </border>
    <border>
      <left style="medium">
        <color rgb="FF1B2A4A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DC3C7"/>
      </left>
      <right style="medium">
        <color rgb="FF1B2A4A"/>
      </right>
      <top style="thin">
        <color rgb="FFBDC3C7"/>
      </top>
      <bottom style="thin">
        <color rgb="FFBDC3C7"/>
      </bottom>
    </border>
    <border>
      <left style="medium">
        <color rgb="FF1B2A4A"/>
      </left>
      <right style="thin">
        <color rgb="FFBDC3C7"/>
      </right>
      <top style="thin">
        <color rgb="FFBDC3C7"/>
      </top>
      <bottom style="medium">
        <color rgb="FF1B2A4A"/>
      </bottom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B2A4A"/>
      </bottom>
    </border>
    <border>
      <left style="thin">
        <color rgb="FFBDC3C7"/>
      </left>
      <right style="medium">
        <color rgb="FF1B2A4A"/>
      </right>
      <top style="thin">
        <color rgb="FFBDC3C7"/>
      </top>
      <bottom style="medium">
        <color rgb="FF1B2A4A"/>
      </bottom>
    </border>
    <border>
      <left/>
      <right/>
      <top/>
      <bottom style="thin">
        <color rgb="FFE0E0E0"/>
      </bottom>
    </border>
    <border>
      <left/>
      <right/>
      <top style="thin">
        <color rgb="FFE0E0E0"/>
      </top>
      <bottom style="thin">
        <color rgb="FFE0E0E0"/>
      </bottom>
    </border>
    <border>
      <left/>
      <right/>
      <top style="thin">
        <color rgb="FFE0E0E0"/>
      </top>
      <bottom/>
    </border>
  </borders>
  <cellStyleXfs count="1">
    <xf borderId="0" fillId="0" fontId="0" numFmtId="0" applyAlignment="1" applyFont="1"/>
  </cellStyleXfs>
  <cellXfs count="3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1" fillId="3" fontId="3" numFmtId="0" xfId="0" applyAlignment="1" applyBorder="1" applyFill="1" applyFont="1">
      <alignment horizontal="center" readingOrder="0" shrinkToFit="0" wrapText="1"/>
    </xf>
    <xf borderId="1" fillId="2" fontId="2" numFmtId="0" xfId="0" applyAlignment="1" applyBorder="1" applyFont="1">
      <alignment shrinkToFit="0" wrapText="1"/>
    </xf>
    <xf borderId="1" fillId="4" fontId="1" numFmtId="0" xfId="0" applyAlignment="1" applyBorder="1" applyFill="1" applyFont="1">
      <alignment horizontal="center" readingOrder="0" shrinkToFit="0" wrapText="1"/>
    </xf>
    <xf borderId="1" fillId="5" fontId="4" numFmtId="0" xfId="0" applyAlignment="1" applyBorder="1" applyFill="1" applyFont="1">
      <alignment horizontal="center" readingOrder="0" shrinkToFit="0" wrapText="1"/>
    </xf>
    <xf borderId="1" fillId="5" fontId="4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 shrinkToFit="0" wrapText="1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1" fillId="6" fontId="2" numFmtId="0" xfId="0" applyAlignment="1" applyBorder="1" applyFill="1" applyFont="1">
      <alignment horizontal="center" shrinkToFit="0" wrapText="1"/>
    </xf>
    <xf borderId="1" fillId="6" fontId="5" numFmtId="0" xfId="0" applyAlignment="1" applyBorder="1" applyFont="1">
      <alignment readingOrder="0" shrinkToFit="0" wrapText="1"/>
    </xf>
    <xf borderId="1" fillId="6" fontId="2" numFmtId="0" xfId="0" applyAlignment="1" applyBorder="1" applyFont="1">
      <alignment readingOrder="0" shrinkToFit="0" wrapText="1"/>
    </xf>
    <xf borderId="1" fillId="6" fontId="7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1" fillId="6" fontId="6" numFmtId="0" xfId="0" applyAlignment="1" applyBorder="1" applyFont="1">
      <alignment readingOrder="0" shrinkToFit="0" wrapText="1"/>
    </xf>
    <xf borderId="1" fillId="7" fontId="1" numFmtId="0" xfId="0" applyAlignment="1" applyBorder="1" applyFill="1" applyFont="1">
      <alignment readingOrder="0" shrinkToFit="0" wrapText="1"/>
    </xf>
    <xf borderId="1" fillId="8" fontId="4" numFmtId="0" xfId="0" applyAlignment="1" applyBorder="1" applyFill="1" applyFont="1">
      <alignment horizontal="center" readingOrder="0" shrinkToFit="0" wrapText="1"/>
    </xf>
    <xf borderId="1" fillId="8" fontId="4" numFmtId="0" xfId="0" applyAlignment="1" applyBorder="1" applyFont="1">
      <alignment readingOrder="0" shrinkToFit="0" wrapText="1"/>
    </xf>
    <xf borderId="1" fillId="9" fontId="2" numFmtId="0" xfId="0" applyAlignment="1" applyBorder="1" applyFill="1" applyFont="1">
      <alignment readingOrder="0" shrinkToFit="0" wrapText="1"/>
    </xf>
    <xf borderId="1" fillId="9" fontId="7" numFmtId="0" xfId="0" applyAlignment="1" applyBorder="1" applyFont="1">
      <alignment readingOrder="0" shrinkToFit="0" wrapText="1"/>
    </xf>
    <xf borderId="1" fillId="9" fontId="4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1" fillId="10" fontId="1" numFmtId="0" xfId="0" applyAlignment="1" applyBorder="1" applyFill="1" applyFont="1">
      <alignment readingOrder="0" shrinkToFit="0" wrapText="1"/>
    </xf>
    <xf borderId="1" fillId="11" fontId="4" numFmtId="0" xfId="0" applyAlignment="1" applyBorder="1" applyFill="1" applyFont="1">
      <alignment horizontal="center" readingOrder="0" shrinkToFit="0" wrapText="1"/>
    </xf>
    <xf borderId="1" fillId="11" fontId="4" numFmtId="0" xfId="0" applyAlignment="1" applyBorder="1" applyFont="1">
      <alignment readingOrder="0" shrinkToFit="0" wrapText="1"/>
    </xf>
    <xf borderId="1" fillId="12" fontId="4" numFmtId="0" xfId="0" applyAlignment="1" applyBorder="1" applyFill="1" applyFont="1">
      <alignment readingOrder="0" shrinkToFit="0" wrapText="1"/>
    </xf>
    <xf borderId="1" fillId="12" fontId="2" numFmtId="0" xfId="0" applyAlignment="1" applyBorder="1" applyFont="1">
      <alignment readingOrder="0" shrinkToFit="0" wrapText="1"/>
    </xf>
    <xf borderId="1" fillId="12" fontId="7" numFmtId="0" xfId="0" applyAlignment="1" applyBorder="1" applyFont="1">
      <alignment readingOrder="0" shrinkToFit="0" wrapText="1"/>
    </xf>
    <xf borderId="1" fillId="13" fontId="1" numFmtId="0" xfId="0" applyAlignment="1" applyBorder="1" applyFill="1" applyFont="1">
      <alignment readingOrder="0" shrinkToFit="0" wrapText="1"/>
    </xf>
    <xf borderId="1" fillId="14" fontId="4" numFmtId="0" xfId="0" applyAlignment="1" applyBorder="1" applyFill="1" applyFont="1">
      <alignment horizontal="center" readingOrder="0" shrinkToFit="0" wrapText="1"/>
    </xf>
    <xf borderId="1" fillId="14" fontId="4" numFmtId="0" xfId="0" applyAlignment="1" applyBorder="1" applyFont="1">
      <alignment readingOrder="0" shrinkToFit="0" wrapText="1"/>
    </xf>
    <xf borderId="1" fillId="15" fontId="4" numFmtId="0" xfId="0" applyAlignment="1" applyBorder="1" applyFill="1" applyFont="1">
      <alignment readingOrder="0" shrinkToFit="0" wrapText="1"/>
    </xf>
    <xf borderId="1" fillId="15" fontId="7" numFmtId="0" xfId="0" applyAlignment="1" applyBorder="1" applyFont="1">
      <alignment readingOrder="0" shrinkToFit="0" wrapText="1"/>
    </xf>
    <xf borderId="1" fillId="15" fontId="2" numFmtId="0" xfId="0" applyAlignment="1" applyBorder="1" applyFont="1">
      <alignment readingOrder="0" shrinkToFit="0" wrapText="1"/>
    </xf>
    <xf borderId="1" fillId="15" fontId="8" numFmtId="0" xfId="0" applyAlignment="1" applyBorder="1" applyFont="1">
      <alignment readingOrder="0" shrinkToFit="0" wrapText="1"/>
    </xf>
    <xf borderId="1" fillId="15" fontId="9" numFmtId="0" xfId="0" applyAlignment="1" applyBorder="1" applyFont="1">
      <alignment readingOrder="0" shrinkToFit="0" wrapText="1"/>
    </xf>
    <xf borderId="1" fillId="16" fontId="1" numFmtId="0" xfId="0" applyAlignment="1" applyBorder="1" applyFill="1" applyFont="1">
      <alignment readingOrder="0" shrinkToFit="0" wrapText="1"/>
    </xf>
    <xf borderId="1" fillId="17" fontId="4" numFmtId="0" xfId="0" applyAlignment="1" applyBorder="1" applyFill="1" applyFont="1">
      <alignment horizontal="center" readingOrder="0" shrinkToFit="0" wrapText="1"/>
    </xf>
    <xf borderId="1" fillId="17" fontId="4" numFmtId="0" xfId="0" applyAlignment="1" applyBorder="1" applyFont="1">
      <alignment readingOrder="0" shrinkToFit="0" wrapText="1"/>
    </xf>
    <xf borderId="1" fillId="18" fontId="4" numFmtId="0" xfId="0" applyAlignment="1" applyBorder="1" applyFill="1" applyFont="1">
      <alignment readingOrder="0" shrinkToFit="0" wrapText="1"/>
    </xf>
    <xf borderId="1" fillId="18" fontId="2" numFmtId="0" xfId="0" applyAlignment="1" applyBorder="1" applyFont="1">
      <alignment readingOrder="0" shrinkToFit="0" wrapText="1"/>
    </xf>
    <xf borderId="1" fillId="18" fontId="7" numFmtId="0" xfId="0" applyAlignment="1" applyBorder="1" applyFont="1">
      <alignment readingOrder="0" shrinkToFit="0" wrapText="1"/>
    </xf>
    <xf borderId="1" fillId="18" fontId="6" numFmtId="0" xfId="0" applyAlignment="1" applyBorder="1" applyFont="1">
      <alignment readingOrder="0" shrinkToFit="0" wrapText="1"/>
    </xf>
    <xf borderId="1" fillId="19" fontId="1" numFmtId="0" xfId="0" applyAlignment="1" applyBorder="1" applyFill="1" applyFont="1">
      <alignment readingOrder="0" shrinkToFit="0" wrapText="1"/>
    </xf>
    <xf borderId="1" fillId="20" fontId="4" numFmtId="0" xfId="0" applyAlignment="1" applyBorder="1" applyFill="1" applyFont="1">
      <alignment readingOrder="0" shrinkToFit="0" wrapText="1"/>
    </xf>
    <xf borderId="1" fillId="20" fontId="2" numFmtId="0" xfId="0" applyAlignment="1" applyBorder="1" applyFont="1">
      <alignment readingOrder="0" shrinkToFit="0" wrapText="1"/>
    </xf>
    <xf borderId="1" fillId="2" fontId="10" numFmtId="0" xfId="0" applyAlignment="1" applyBorder="1" applyFont="1">
      <alignment readingOrder="0" shrinkToFit="0" wrapText="1"/>
    </xf>
    <xf borderId="1" fillId="2" fontId="10" numFmtId="0" xfId="0" applyAlignment="1" applyBorder="1" applyFont="1">
      <alignment shrinkToFit="0" wrapText="1"/>
    </xf>
    <xf borderId="1" fillId="4" fontId="1" numFmtId="0" xfId="0" applyAlignment="1" applyBorder="1" applyFont="1">
      <alignment readingOrder="0" shrinkToFit="0" wrapText="1"/>
    </xf>
    <xf borderId="1" fillId="4" fontId="1" numFmtId="0" xfId="0" applyAlignment="1" applyBorder="1" applyFont="1">
      <alignment shrinkToFit="0" wrapText="1"/>
    </xf>
    <xf borderId="0" fillId="0" fontId="11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2" fillId="2" fontId="13" numFmtId="0" xfId="0" applyAlignment="1" applyBorder="1" applyFont="1">
      <alignment horizontal="center" readingOrder="0"/>
    </xf>
    <xf borderId="3" fillId="0" fontId="14" numFmtId="0" xfId="0" applyBorder="1" applyFont="1"/>
    <xf borderId="4" fillId="0" fontId="14" numFmtId="0" xfId="0" applyBorder="1" applyFont="1"/>
    <xf borderId="0" fillId="0" fontId="15" numFmtId="0" xfId="0" applyAlignment="1" applyFont="1">
      <alignment horizontal="right" readingOrder="2"/>
    </xf>
    <xf borderId="2" fillId="21" fontId="16" numFmtId="0" xfId="0" applyAlignment="1" applyBorder="1" applyFill="1" applyFont="1">
      <alignment horizontal="center" readingOrder="0"/>
    </xf>
    <xf borderId="2" fillId="22" fontId="17" numFmtId="0" xfId="0" applyAlignment="1" applyBorder="1" applyFill="1" applyFont="1">
      <alignment horizontal="center" readingOrder="0"/>
    </xf>
    <xf borderId="5" fillId="23" fontId="1" numFmtId="0" xfId="0" applyAlignment="1" applyBorder="1" applyFill="1" applyFont="1">
      <alignment horizontal="center" readingOrder="0"/>
    </xf>
    <xf borderId="6" fillId="23" fontId="1" numFmtId="0" xfId="0" applyAlignment="1" applyBorder="1" applyFont="1">
      <alignment horizontal="center" readingOrder="0"/>
    </xf>
    <xf borderId="6" fillId="10" fontId="1" numFmtId="0" xfId="0" applyAlignment="1" applyBorder="1" applyFont="1">
      <alignment horizontal="center" readingOrder="0"/>
    </xf>
    <xf borderId="6" fillId="24" fontId="1" numFmtId="0" xfId="0" applyAlignment="1" applyBorder="1" applyFill="1" applyFont="1">
      <alignment horizontal="center" readingOrder="0"/>
    </xf>
    <xf borderId="6" fillId="13" fontId="1" numFmtId="0" xfId="0" applyAlignment="1" applyBorder="1" applyFont="1">
      <alignment horizontal="center" readingOrder="0"/>
    </xf>
    <xf borderId="7" fillId="13" fontId="1" numFmtId="0" xfId="0" applyAlignment="1" applyBorder="1" applyFont="1">
      <alignment horizontal="center" readingOrder="0"/>
    </xf>
    <xf borderId="8" fillId="9" fontId="18" numFmtId="0" xfId="0" applyAlignment="1" applyBorder="1" applyFont="1">
      <alignment horizontal="center" readingOrder="0"/>
    </xf>
    <xf borderId="9" fillId="9" fontId="19" numFmtId="0" xfId="0" applyAlignment="1" applyBorder="1" applyFont="1">
      <alignment horizontal="center"/>
    </xf>
    <xf borderId="9" fillId="12" fontId="18" numFmtId="0" xfId="0" applyAlignment="1" applyBorder="1" applyFont="1">
      <alignment horizontal="center" readingOrder="0"/>
    </xf>
    <xf borderId="9" fillId="12" fontId="19" numFmtId="0" xfId="0" applyAlignment="1" applyBorder="1" applyFont="1">
      <alignment horizontal="center"/>
    </xf>
    <xf borderId="9" fillId="25" fontId="18" numFmtId="0" xfId="0" applyAlignment="1" applyBorder="1" applyFill="1" applyFont="1">
      <alignment horizontal="center" readingOrder="0"/>
    </xf>
    <xf borderId="9" fillId="25" fontId="19" numFmtId="0" xfId="0" applyAlignment="1" applyBorder="1" applyFont="1">
      <alignment horizontal="center"/>
    </xf>
    <xf borderId="9" fillId="15" fontId="18" numFmtId="0" xfId="0" applyAlignment="1" applyBorder="1" applyFont="1">
      <alignment horizontal="center" readingOrder="0"/>
    </xf>
    <xf borderId="10" fillId="15" fontId="19" numFmtId="0" xfId="0" applyAlignment="1" applyBorder="1" applyFont="1">
      <alignment horizontal="center"/>
    </xf>
    <xf borderId="11" fillId="9" fontId="18" numFmtId="0" xfId="0" applyAlignment="1" applyBorder="1" applyFont="1">
      <alignment horizontal="center" readingOrder="0"/>
    </xf>
    <xf borderId="12" fillId="9" fontId="20" numFmtId="164" xfId="0" applyAlignment="1" applyBorder="1" applyFont="1" applyNumberFormat="1">
      <alignment horizontal="center"/>
    </xf>
    <xf borderId="12" fillId="12" fontId="18" numFmtId="0" xfId="0" applyAlignment="1" applyBorder="1" applyFont="1">
      <alignment horizontal="center" readingOrder="0"/>
    </xf>
    <xf borderId="12" fillId="12" fontId="20" numFmtId="164" xfId="0" applyAlignment="1" applyBorder="1" applyFont="1" applyNumberFormat="1">
      <alignment horizontal="center"/>
    </xf>
    <xf borderId="12" fillId="25" fontId="18" numFmtId="0" xfId="0" applyAlignment="1" applyBorder="1" applyFont="1">
      <alignment horizontal="center" readingOrder="0"/>
    </xf>
    <xf borderId="12" fillId="25" fontId="20" numFmtId="164" xfId="0" applyAlignment="1" applyBorder="1" applyFont="1" applyNumberFormat="1">
      <alignment horizontal="center"/>
    </xf>
    <xf borderId="12" fillId="15" fontId="18" numFmtId="0" xfId="0" applyAlignment="1" applyBorder="1" applyFont="1">
      <alignment horizontal="center" readingOrder="0"/>
    </xf>
    <xf borderId="13" fillId="15" fontId="20" numFmtId="164" xfId="0" applyAlignment="1" applyBorder="1" applyFont="1" applyNumberFormat="1">
      <alignment horizontal="center"/>
    </xf>
    <xf borderId="14" fillId="9" fontId="18" numFmtId="0" xfId="0" applyAlignment="1" applyBorder="1" applyFont="1">
      <alignment horizontal="center" readingOrder="0"/>
    </xf>
    <xf borderId="15" fillId="9" fontId="21" numFmtId="165" xfId="0" applyAlignment="1" applyBorder="1" applyFont="1" applyNumberFormat="1">
      <alignment horizontal="center"/>
    </xf>
    <xf borderId="16" fillId="12" fontId="18" numFmtId="0" xfId="0" applyAlignment="1" applyBorder="1" applyFont="1">
      <alignment horizontal="center" readingOrder="0"/>
    </xf>
    <xf borderId="15" fillId="12" fontId="21" numFmtId="165" xfId="0" applyAlignment="1" applyBorder="1" applyFont="1" applyNumberFormat="1">
      <alignment horizontal="center"/>
    </xf>
    <xf borderId="16" fillId="25" fontId="18" numFmtId="0" xfId="0" applyAlignment="1" applyBorder="1" applyFont="1">
      <alignment horizontal="center" readingOrder="0"/>
    </xf>
    <xf borderId="15" fillId="25" fontId="21" numFmtId="165" xfId="0" applyAlignment="1" applyBorder="1" applyFont="1" applyNumberFormat="1">
      <alignment horizontal="center"/>
    </xf>
    <xf borderId="16" fillId="15" fontId="18" numFmtId="0" xfId="0" applyAlignment="1" applyBorder="1" applyFont="1">
      <alignment horizontal="center" readingOrder="0"/>
    </xf>
    <xf borderId="15" fillId="15" fontId="21" numFmtId="165" xfId="0" applyAlignment="1" applyBorder="1" applyFont="1" applyNumberFormat="1">
      <alignment horizontal="center"/>
    </xf>
    <xf borderId="2" fillId="4" fontId="22" numFmtId="0" xfId="0" applyAlignment="1" applyBorder="1" applyFont="1">
      <alignment horizontal="center" readingOrder="0"/>
    </xf>
    <xf borderId="5" fillId="26" fontId="4" numFmtId="0" xfId="0" applyAlignment="1" applyBorder="1" applyFill="1" applyFont="1">
      <alignment horizontal="center" readingOrder="0"/>
    </xf>
    <xf borderId="6" fillId="26" fontId="4" numFmtId="0" xfId="0" applyAlignment="1" applyBorder="1" applyFont="1">
      <alignment horizontal="center" readingOrder="0"/>
    </xf>
    <xf borderId="7" fillId="26" fontId="4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center" readingOrder="0"/>
    </xf>
    <xf borderId="18" fillId="0" fontId="23" numFmtId="0" xfId="0" applyAlignment="1" applyBorder="1" applyFont="1">
      <alignment horizontal="center"/>
    </xf>
    <xf borderId="18" fillId="0" fontId="2" numFmtId="0" xfId="0" applyAlignment="1" applyBorder="1" applyFont="1">
      <alignment horizontal="center" readingOrder="0"/>
    </xf>
    <xf borderId="18" fillId="0" fontId="24" numFmtId="164" xfId="0" applyAlignment="1" applyBorder="1" applyFont="1" applyNumberFormat="1">
      <alignment horizontal="center"/>
    </xf>
    <xf borderId="18" fillId="0" fontId="21" numFmtId="165" xfId="0" applyAlignment="1" applyBorder="1" applyFont="1" applyNumberFormat="1">
      <alignment horizontal="center"/>
    </xf>
    <xf borderId="19" fillId="0" fontId="25" numFmtId="0" xfId="0" applyAlignment="1" applyBorder="1" applyFont="1">
      <alignment horizontal="center"/>
    </xf>
    <xf borderId="1" fillId="21" fontId="15" numFmtId="0" xfId="0" applyBorder="1" applyFont="1"/>
    <xf borderId="2" fillId="3" fontId="26" numFmtId="0" xfId="0" applyAlignment="1" applyBorder="1" applyFont="1">
      <alignment horizontal="center" readingOrder="0"/>
    </xf>
    <xf borderId="5" fillId="27" fontId="27" numFmtId="0" xfId="0" applyAlignment="1" applyBorder="1" applyFill="1" applyFont="1">
      <alignment horizontal="center" readingOrder="0"/>
    </xf>
    <xf borderId="6" fillId="27" fontId="27" numFmtId="0" xfId="0" applyAlignment="1" applyBorder="1" applyFont="1">
      <alignment horizontal="center" readingOrder="0"/>
    </xf>
    <xf borderId="7" fillId="27" fontId="27" numFmtId="0" xfId="0" applyAlignment="1" applyBorder="1" applyFont="1">
      <alignment horizontal="center" readingOrder="0"/>
    </xf>
    <xf borderId="8" fillId="6" fontId="2" numFmtId="0" xfId="0" applyAlignment="1" applyBorder="1" applyFont="1">
      <alignment horizontal="right" readingOrder="0"/>
    </xf>
    <xf borderId="9" fillId="6" fontId="2" numFmtId="0" xfId="0" applyAlignment="1" applyBorder="1" applyFont="1">
      <alignment horizontal="center"/>
    </xf>
    <xf borderId="9" fillId="6" fontId="2" numFmtId="9" xfId="0" applyAlignment="1" applyBorder="1" applyFont="1" applyNumberFormat="1">
      <alignment horizontal="center"/>
    </xf>
    <xf borderId="10" fillId="6" fontId="2" numFmtId="0" xfId="0" applyAlignment="1" applyBorder="1" applyFont="1">
      <alignment horizontal="center"/>
    </xf>
    <xf borderId="8" fillId="28" fontId="2" numFmtId="0" xfId="0" applyAlignment="1" applyBorder="1" applyFill="1" applyFont="1">
      <alignment horizontal="right" readingOrder="0"/>
    </xf>
    <xf borderId="9" fillId="28" fontId="2" numFmtId="165" xfId="0" applyAlignment="1" applyBorder="1" applyFont="1" applyNumberFormat="1">
      <alignment horizontal="center"/>
    </xf>
    <xf borderId="9" fillId="28" fontId="2" numFmtId="9" xfId="0" applyAlignment="1" applyBorder="1" applyFont="1" applyNumberFormat="1">
      <alignment horizontal="center"/>
    </xf>
    <xf borderId="10" fillId="28" fontId="2" numFmtId="0" xfId="0" applyAlignment="1" applyBorder="1" applyFont="1">
      <alignment horizontal="center"/>
    </xf>
    <xf borderId="11" fillId="28" fontId="2" numFmtId="0" xfId="0" applyAlignment="1" applyBorder="1" applyFont="1">
      <alignment horizontal="right" readingOrder="0"/>
    </xf>
    <xf borderId="12" fillId="28" fontId="2" numFmtId="0" xfId="0" applyAlignment="1" applyBorder="1" applyFont="1">
      <alignment horizontal="center"/>
    </xf>
    <xf borderId="12" fillId="28" fontId="2" numFmtId="9" xfId="0" applyAlignment="1" applyBorder="1" applyFont="1" applyNumberFormat="1">
      <alignment horizontal="center"/>
    </xf>
    <xf borderId="13" fillId="28" fontId="2" numFmtId="0" xfId="0" applyAlignment="1" applyBorder="1" applyFont="1">
      <alignment horizontal="center"/>
    </xf>
    <xf borderId="8" fillId="6" fontId="2" numFmtId="0" xfId="0" applyAlignment="1" applyBorder="1" applyFont="1">
      <alignment horizontal="right" readingOrder="2"/>
    </xf>
    <xf borderId="9" fillId="6" fontId="2" numFmtId="165" xfId="0" applyAlignment="1" applyBorder="1" applyFont="1" applyNumberFormat="1">
      <alignment horizontal="center" readingOrder="2"/>
    </xf>
    <xf borderId="9" fillId="6" fontId="2" numFmtId="9" xfId="0" applyAlignment="1" applyBorder="1" applyFont="1" applyNumberFormat="1">
      <alignment horizontal="center" readingOrder="2"/>
    </xf>
    <xf borderId="10" fillId="6" fontId="2" numFmtId="0" xfId="0" applyAlignment="1" applyBorder="1" applyFont="1">
      <alignment horizontal="center" readingOrder="2"/>
    </xf>
    <xf borderId="11" fillId="28" fontId="2" numFmtId="0" xfId="0" applyAlignment="1" applyBorder="1" applyFont="1">
      <alignment horizontal="right" readingOrder="2"/>
    </xf>
    <xf borderId="12" fillId="28" fontId="2" numFmtId="165" xfId="0" applyAlignment="1" applyBorder="1" applyFont="1" applyNumberFormat="1">
      <alignment horizontal="center" readingOrder="2"/>
    </xf>
    <xf borderId="12" fillId="28" fontId="2" numFmtId="9" xfId="0" applyAlignment="1" applyBorder="1" applyFont="1" applyNumberFormat="1">
      <alignment horizontal="center" readingOrder="2"/>
    </xf>
    <xf borderId="13" fillId="28" fontId="2" numFmtId="0" xfId="0" applyAlignment="1" applyBorder="1" applyFont="1">
      <alignment horizontal="center" readingOrder="2"/>
    </xf>
    <xf borderId="5" fillId="29" fontId="27" numFmtId="0" xfId="0" applyAlignment="1" applyBorder="1" applyFill="1" applyFont="1">
      <alignment horizontal="center" readingOrder="0"/>
    </xf>
    <xf borderId="6" fillId="29" fontId="27" numFmtId="0" xfId="0" applyAlignment="1" applyBorder="1" applyFont="1">
      <alignment horizontal="center" readingOrder="0"/>
    </xf>
    <xf borderId="7" fillId="29" fontId="27" numFmtId="0" xfId="0" applyAlignment="1" applyBorder="1" applyFont="1">
      <alignment horizontal="center" readingOrder="0"/>
    </xf>
    <xf borderId="8" fillId="30" fontId="15" numFmtId="0" xfId="0" applyAlignment="1" applyBorder="1" applyFill="1" applyFont="1">
      <alignment readingOrder="0"/>
    </xf>
    <xf borderId="9" fillId="30" fontId="15" numFmtId="0" xfId="0" applyAlignment="1" applyBorder="1" applyFont="1">
      <alignment horizontal="center"/>
    </xf>
    <xf borderId="9" fillId="30" fontId="15" numFmtId="9" xfId="0" applyAlignment="1" applyBorder="1" applyFont="1" applyNumberFormat="1">
      <alignment horizontal="center"/>
    </xf>
    <xf borderId="10" fillId="30" fontId="15" numFmtId="0" xfId="0" applyAlignment="1" applyBorder="1" applyFont="1">
      <alignment horizontal="center"/>
    </xf>
    <xf borderId="20" fillId="0" fontId="15" numFmtId="0" xfId="0" applyAlignment="1" applyBorder="1" applyFont="1">
      <alignment readingOrder="0"/>
    </xf>
    <xf borderId="9" fillId="0" fontId="15" numFmtId="0" xfId="0" applyAlignment="1" applyBorder="1" applyFont="1">
      <alignment horizontal="center"/>
    </xf>
    <xf borderId="9" fillId="0" fontId="15" numFmtId="9" xfId="0" applyAlignment="1" applyBorder="1" applyFont="1" applyNumberFormat="1">
      <alignment horizontal="center"/>
    </xf>
    <xf borderId="21" fillId="0" fontId="15" numFmtId="0" xfId="0" applyAlignment="1" applyBorder="1" applyFont="1">
      <alignment horizontal="center"/>
    </xf>
    <xf borderId="9" fillId="0" fontId="15" numFmtId="165" xfId="0" applyAlignment="1" applyBorder="1" applyFont="1" applyNumberFormat="1">
      <alignment horizontal="center"/>
    </xf>
    <xf borderId="17" fillId="0" fontId="15" numFmtId="0" xfId="0" applyAlignment="1" applyBorder="1" applyFont="1">
      <alignment readingOrder="0"/>
    </xf>
    <xf borderId="18" fillId="0" fontId="15" numFmtId="166" xfId="0" applyAlignment="1" applyBorder="1" applyFont="1" applyNumberFormat="1">
      <alignment horizontal="center"/>
    </xf>
    <xf borderId="18" fillId="0" fontId="15" numFmtId="9" xfId="0" applyAlignment="1" applyBorder="1" applyFont="1" applyNumberFormat="1">
      <alignment horizontal="center"/>
    </xf>
    <xf borderId="19" fillId="0" fontId="15" numFmtId="0" xfId="0" applyAlignment="1" applyBorder="1" applyFont="1">
      <alignment horizontal="center"/>
    </xf>
    <xf borderId="18" fillId="0" fontId="15" numFmtId="0" xfId="0" applyAlignment="1" applyBorder="1" applyFont="1">
      <alignment horizontal="center"/>
    </xf>
    <xf borderId="2" fillId="2" fontId="28" numFmtId="0" xfId="0" applyAlignment="1" applyBorder="1" applyFont="1">
      <alignment horizontal="center" readingOrder="0"/>
    </xf>
    <xf borderId="0" fillId="0" fontId="15" numFmtId="0" xfId="0" applyAlignment="1" applyFont="1">
      <alignment horizontal="right" readingOrder="2"/>
    </xf>
    <xf borderId="2" fillId="20" fontId="29" numFmtId="0" xfId="0" applyAlignment="1" applyBorder="1" applyFont="1">
      <alignment horizontal="center" readingOrder="0"/>
    </xf>
    <xf borderId="1" fillId="21" fontId="15" numFmtId="0" xfId="0" applyAlignment="1" applyBorder="1" applyFont="1">
      <alignment horizontal="right" readingOrder="2"/>
    </xf>
    <xf borderId="2" fillId="24" fontId="30" numFmtId="0" xfId="0" applyAlignment="1" applyBorder="1" applyFont="1">
      <alignment horizontal="center" readingOrder="0"/>
    </xf>
    <xf borderId="5" fillId="31" fontId="5" numFmtId="0" xfId="0" applyAlignment="1" applyBorder="1" applyFill="1" applyFont="1">
      <alignment horizontal="center" readingOrder="2" shrinkToFit="0" wrapText="1"/>
    </xf>
    <xf borderId="6" fillId="31" fontId="5" numFmtId="0" xfId="0" applyAlignment="1" applyBorder="1" applyFont="1">
      <alignment horizontal="center" readingOrder="2" shrinkToFit="0" wrapText="1"/>
    </xf>
    <xf borderId="7" fillId="31" fontId="5" numFmtId="0" xfId="0" applyAlignment="1" applyBorder="1" applyFont="1">
      <alignment horizontal="center" readingOrder="2" shrinkToFit="0" wrapText="1"/>
    </xf>
    <xf borderId="8" fillId="28" fontId="2" numFmtId="0" xfId="0" applyAlignment="1" applyBorder="1" applyFont="1">
      <alignment horizontal="right" readingOrder="2" shrinkToFit="0" wrapText="1"/>
    </xf>
    <xf borderId="9" fillId="28" fontId="2" numFmtId="0" xfId="0" applyAlignment="1" applyBorder="1" applyFont="1">
      <alignment horizontal="right" readingOrder="2" shrinkToFit="0" wrapText="1"/>
    </xf>
    <xf borderId="9" fillId="28" fontId="7" numFmtId="0" xfId="0" applyAlignment="1" applyBorder="1" applyFont="1">
      <alignment horizontal="center" readingOrder="2" shrinkToFit="0" wrapText="1"/>
    </xf>
    <xf borderId="10" fillId="28" fontId="11" numFmtId="0" xfId="0" applyAlignment="1" applyBorder="1" applyFont="1">
      <alignment horizontal="right" readingOrder="2" shrinkToFit="0" wrapText="1"/>
    </xf>
    <xf borderId="8" fillId="6" fontId="2" numFmtId="0" xfId="0" applyAlignment="1" applyBorder="1" applyFont="1">
      <alignment horizontal="right" readingOrder="2" shrinkToFit="0" wrapText="1"/>
    </xf>
    <xf borderId="9" fillId="6" fontId="2" numFmtId="0" xfId="0" applyAlignment="1" applyBorder="1" applyFont="1">
      <alignment horizontal="right" readingOrder="2" shrinkToFit="0" wrapText="1"/>
    </xf>
    <xf borderId="9" fillId="6" fontId="7" numFmtId="0" xfId="0" applyAlignment="1" applyBorder="1" applyFont="1">
      <alignment horizontal="center" readingOrder="2" shrinkToFit="0" wrapText="1"/>
    </xf>
    <xf borderId="10" fillId="6" fontId="11" numFmtId="0" xfId="0" applyAlignment="1" applyBorder="1" applyFont="1">
      <alignment horizontal="right" readingOrder="2" shrinkToFit="0" wrapText="1"/>
    </xf>
    <xf borderId="11" fillId="6" fontId="2" numFmtId="0" xfId="0" applyAlignment="1" applyBorder="1" applyFont="1">
      <alignment horizontal="right" readingOrder="2" shrinkToFit="0" wrapText="1"/>
    </xf>
    <xf borderId="12" fillId="6" fontId="2" numFmtId="0" xfId="0" applyAlignment="1" applyBorder="1" applyFont="1">
      <alignment horizontal="right" readingOrder="2" shrinkToFit="0" wrapText="1"/>
    </xf>
    <xf borderId="12" fillId="6" fontId="7" numFmtId="0" xfId="0" applyAlignment="1" applyBorder="1" applyFont="1">
      <alignment horizontal="center" readingOrder="2" shrinkToFit="0" wrapText="1"/>
    </xf>
    <xf borderId="13" fillId="6" fontId="11" numFmtId="0" xfId="0" applyAlignment="1" applyBorder="1" applyFont="1">
      <alignment horizontal="right" readingOrder="2" shrinkToFit="0" wrapText="1"/>
    </xf>
    <xf borderId="2" fillId="32" fontId="31" numFmtId="0" xfId="0" applyAlignment="1" applyBorder="1" applyFill="1" applyFont="1">
      <alignment horizontal="center"/>
    </xf>
    <xf borderId="2" fillId="21" fontId="32" numFmtId="0" xfId="0" applyAlignment="1" applyBorder="1" applyFont="1">
      <alignment horizontal="center" readingOrder="0"/>
    </xf>
    <xf borderId="2" fillId="7" fontId="30" numFmtId="0" xfId="0" applyAlignment="1" applyBorder="1" applyFont="1">
      <alignment horizontal="center" readingOrder="0"/>
    </xf>
    <xf borderId="5" fillId="33" fontId="5" numFmtId="0" xfId="0" applyAlignment="1" applyBorder="1" applyFill="1" applyFont="1">
      <alignment horizontal="center" readingOrder="2" shrinkToFit="0" wrapText="1"/>
    </xf>
    <xf borderId="6" fillId="33" fontId="5" numFmtId="0" xfId="0" applyAlignment="1" applyBorder="1" applyFont="1">
      <alignment horizontal="center" readingOrder="2" shrinkToFit="0" wrapText="1"/>
    </xf>
    <xf borderId="6" fillId="33" fontId="7" numFmtId="0" xfId="0" applyAlignment="1" applyBorder="1" applyFont="1">
      <alignment horizontal="center" readingOrder="2" shrinkToFit="0" wrapText="1"/>
    </xf>
    <xf borderId="7" fillId="33" fontId="5" numFmtId="0" xfId="0" applyAlignment="1" applyBorder="1" applyFont="1">
      <alignment horizontal="center" readingOrder="2" shrinkToFit="0" wrapText="1"/>
    </xf>
    <xf borderId="9" fillId="28" fontId="11" numFmtId="0" xfId="0" applyAlignment="1" applyBorder="1" applyFont="1">
      <alignment horizontal="right" readingOrder="2" shrinkToFit="0" wrapText="1"/>
    </xf>
    <xf borderId="10" fillId="28" fontId="2" numFmtId="0" xfId="0" applyAlignment="1" applyBorder="1" applyFont="1">
      <alignment horizontal="right" readingOrder="2" shrinkToFit="0" wrapText="1"/>
    </xf>
    <xf borderId="9" fillId="6" fontId="11" numFmtId="0" xfId="0" applyAlignment="1" applyBorder="1" applyFont="1">
      <alignment horizontal="right" readingOrder="2" shrinkToFit="0" wrapText="1"/>
    </xf>
    <xf borderId="10" fillId="6" fontId="2" numFmtId="0" xfId="0" applyAlignment="1" applyBorder="1" applyFont="1">
      <alignment horizontal="right" readingOrder="2" shrinkToFit="0" wrapText="1"/>
    </xf>
    <xf borderId="11" fillId="28" fontId="2" numFmtId="0" xfId="0" applyAlignment="1" applyBorder="1" applyFont="1">
      <alignment horizontal="right" readingOrder="2" shrinkToFit="0" wrapText="1"/>
    </xf>
    <xf borderId="12" fillId="28" fontId="2" numFmtId="0" xfId="0" applyAlignment="1" applyBorder="1" applyFont="1">
      <alignment horizontal="right" readingOrder="2" shrinkToFit="0" wrapText="1"/>
    </xf>
    <xf borderId="13" fillId="28" fontId="2" numFmtId="0" xfId="0" applyAlignment="1" applyBorder="1" applyFont="1">
      <alignment horizontal="right" readingOrder="2" shrinkToFit="0" wrapText="1"/>
    </xf>
    <xf borderId="2" fillId="10" fontId="30" numFmtId="0" xfId="0" applyAlignment="1" applyBorder="1" applyFont="1">
      <alignment horizontal="center" readingOrder="0"/>
    </xf>
    <xf borderId="5" fillId="34" fontId="5" numFmtId="0" xfId="0" applyAlignment="1" applyBorder="1" applyFill="1" applyFont="1">
      <alignment horizontal="center" readingOrder="2" shrinkToFit="0" wrapText="1"/>
    </xf>
    <xf borderId="6" fillId="34" fontId="5" numFmtId="0" xfId="0" applyAlignment="1" applyBorder="1" applyFont="1">
      <alignment horizontal="center" readingOrder="2" shrinkToFit="0" wrapText="1"/>
    </xf>
    <xf borderId="7" fillId="34" fontId="5" numFmtId="0" xfId="0" applyAlignment="1" applyBorder="1" applyFont="1">
      <alignment horizontal="center" readingOrder="2" shrinkToFit="0" wrapText="1"/>
    </xf>
    <xf borderId="9" fillId="28" fontId="11" numFmtId="0" xfId="0" applyAlignment="1" applyBorder="1" applyFont="1">
      <alignment horizontal="center" readingOrder="2" shrinkToFit="0" wrapText="1"/>
    </xf>
    <xf borderId="9" fillId="6" fontId="11" numFmtId="0" xfId="0" applyAlignment="1" applyBorder="1" applyFont="1">
      <alignment horizontal="center" readingOrder="2" shrinkToFit="0" wrapText="1"/>
    </xf>
    <xf borderId="12" fillId="28" fontId="11" numFmtId="0" xfId="0" applyAlignment="1" applyBorder="1" applyFont="1">
      <alignment horizontal="right" readingOrder="2" shrinkToFit="0" wrapText="1"/>
    </xf>
    <xf borderId="12" fillId="28" fontId="11" numFmtId="0" xfId="0" applyAlignment="1" applyBorder="1" applyFont="1">
      <alignment horizontal="center" readingOrder="2" shrinkToFit="0" wrapText="1"/>
    </xf>
    <xf borderId="2" fillId="4" fontId="30" numFmtId="0" xfId="0" applyAlignment="1" applyBorder="1" applyFont="1">
      <alignment horizontal="center" readingOrder="0"/>
    </xf>
    <xf borderId="5" fillId="35" fontId="5" numFmtId="0" xfId="0" applyAlignment="1" applyBorder="1" applyFill="1" applyFont="1">
      <alignment horizontal="center" readingOrder="2" shrinkToFit="0" wrapText="1"/>
    </xf>
    <xf borderId="6" fillId="35" fontId="5" numFmtId="0" xfId="0" applyAlignment="1" applyBorder="1" applyFont="1">
      <alignment horizontal="center" readingOrder="2" shrinkToFit="0" wrapText="1"/>
    </xf>
    <xf borderId="7" fillId="35" fontId="5" numFmtId="0" xfId="0" applyAlignment="1" applyBorder="1" applyFont="1">
      <alignment horizontal="center" readingOrder="2" shrinkToFit="0" wrapText="1"/>
    </xf>
    <xf borderId="13" fillId="6" fontId="2" numFmtId="0" xfId="0" applyAlignment="1" applyBorder="1" applyFont="1">
      <alignment horizontal="right" readingOrder="2" shrinkToFit="0" wrapText="1"/>
    </xf>
    <xf borderId="2" fillId="13" fontId="30" numFmtId="0" xfId="0" applyAlignment="1" applyBorder="1" applyFont="1">
      <alignment horizontal="center" readingOrder="0"/>
    </xf>
    <xf borderId="5" fillId="32" fontId="5" numFmtId="0" xfId="0" applyAlignment="1" applyBorder="1" applyFont="1">
      <alignment horizontal="center" readingOrder="2" shrinkToFit="0" wrapText="1"/>
    </xf>
    <xf borderId="6" fillId="32" fontId="5" numFmtId="0" xfId="0" applyAlignment="1" applyBorder="1" applyFont="1">
      <alignment horizontal="center" readingOrder="2" shrinkToFit="0" wrapText="1"/>
    </xf>
    <xf borderId="7" fillId="32" fontId="5" numFmtId="0" xfId="0" applyAlignment="1" applyBorder="1" applyFont="1">
      <alignment horizontal="center" readingOrder="2" shrinkToFit="0" wrapText="1"/>
    </xf>
    <xf borderId="2" fillId="36" fontId="30" numFmtId="0" xfId="0" applyAlignment="1" applyBorder="1" applyFill="1" applyFont="1">
      <alignment horizontal="center" readingOrder="0"/>
    </xf>
    <xf borderId="0" fillId="0" fontId="15" numFmtId="0" xfId="0" applyAlignment="1" applyFont="1">
      <alignment horizontal="right" readingOrder="2"/>
    </xf>
    <xf borderId="0" fillId="0" fontId="33" numFmtId="0" xfId="0" applyAlignment="1" applyFont="1">
      <alignment readingOrder="0"/>
    </xf>
    <xf borderId="2" fillId="37" fontId="30" numFmtId="0" xfId="0" applyAlignment="1" applyBorder="1" applyFill="1" applyFont="1">
      <alignment horizontal="center" readingOrder="0"/>
    </xf>
    <xf borderId="1" fillId="32" fontId="4" numFmtId="0" xfId="0" applyAlignment="1" applyBorder="1" applyFont="1">
      <alignment horizontal="center" readingOrder="2" shrinkToFit="0" wrapText="1"/>
    </xf>
    <xf borderId="1" fillId="28" fontId="2" numFmtId="0" xfId="0" applyAlignment="1" applyBorder="1" applyFont="1">
      <alignment horizontal="right" readingOrder="2" shrinkToFit="0" wrapText="1"/>
    </xf>
    <xf borderId="1" fillId="6" fontId="2" numFmtId="0" xfId="0" applyAlignment="1" applyBorder="1" applyFont="1">
      <alignment horizontal="right" readingOrder="2" shrinkToFit="0" wrapText="1"/>
    </xf>
    <xf borderId="1" fillId="31" fontId="4" numFmtId="0" xfId="0" applyAlignment="1" applyBorder="1" applyFont="1">
      <alignment horizontal="center" readingOrder="2" shrinkToFit="0" wrapText="1"/>
    </xf>
    <xf borderId="1" fillId="33" fontId="34" numFmtId="0" xfId="0" applyAlignment="1" applyBorder="1" applyFont="1">
      <alignment horizontal="center" readingOrder="2"/>
    </xf>
    <xf borderId="1" fillId="28" fontId="34" numFmtId="0" xfId="0" applyAlignment="1" applyBorder="1" applyFont="1">
      <alignment horizontal="center" readingOrder="2" shrinkToFit="0" wrapText="1"/>
    </xf>
    <xf borderId="1" fillId="28" fontId="18" numFmtId="0" xfId="0" applyAlignment="1" applyBorder="1" applyFont="1">
      <alignment horizontal="right" readingOrder="2" shrinkToFit="0" wrapText="1"/>
    </xf>
    <xf borderId="1" fillId="6" fontId="34" numFmtId="0" xfId="0" applyAlignment="1" applyBorder="1" applyFont="1">
      <alignment horizontal="center" readingOrder="2" shrinkToFit="0" wrapText="1"/>
    </xf>
    <xf borderId="1" fillId="6" fontId="18" numFmtId="0" xfId="0" applyAlignment="1" applyBorder="1" applyFont="1">
      <alignment horizontal="right" readingOrder="2" shrinkToFit="0" wrapText="1"/>
    </xf>
    <xf borderId="1" fillId="32" fontId="34" numFmtId="0" xfId="0" applyAlignment="1" applyBorder="1" applyFont="1">
      <alignment horizontal="center" readingOrder="2"/>
    </xf>
    <xf borderId="1" fillId="28" fontId="34" numFmtId="0" xfId="0" applyAlignment="1" applyBorder="1" applyFont="1">
      <alignment horizontal="right" readingOrder="2" shrinkToFit="0" wrapText="1"/>
    </xf>
    <xf borderId="1" fillId="28" fontId="18" numFmtId="9" xfId="0" applyAlignment="1" applyBorder="1" applyFont="1" applyNumberFormat="1">
      <alignment horizontal="right" readingOrder="2" shrinkToFit="0" wrapText="1"/>
    </xf>
    <xf borderId="1" fillId="6" fontId="34" numFmtId="0" xfId="0" applyAlignment="1" applyBorder="1" applyFont="1">
      <alignment horizontal="right" readingOrder="2" shrinkToFit="0" wrapText="1"/>
    </xf>
    <xf borderId="1" fillId="6" fontId="18" numFmtId="9" xfId="0" applyAlignment="1" applyBorder="1" applyFont="1" applyNumberFormat="1">
      <alignment horizontal="right" readingOrder="2" shrinkToFit="0" wrapText="1"/>
    </xf>
    <xf borderId="1" fillId="34" fontId="34" numFmtId="0" xfId="0" applyAlignment="1" applyBorder="1" applyFont="1">
      <alignment horizontal="center" readingOrder="2"/>
    </xf>
    <xf borderId="1" fillId="31" fontId="34" numFmtId="0" xfId="0" applyAlignment="1" applyBorder="1" applyFont="1">
      <alignment horizontal="center" readingOrder="2"/>
    </xf>
    <xf borderId="1" fillId="28" fontId="18" numFmtId="0" xfId="0" applyAlignment="1" applyBorder="1" applyFont="1">
      <alignment horizontal="center" readingOrder="2" shrinkToFit="0" wrapText="1"/>
    </xf>
    <xf borderId="1" fillId="6" fontId="18" numFmtId="0" xfId="0" applyAlignment="1" applyBorder="1" applyFont="1">
      <alignment horizontal="center" readingOrder="2" shrinkToFit="0" wrapText="1"/>
    </xf>
    <xf borderId="1" fillId="21" fontId="15" numFmtId="0" xfId="0" applyAlignment="1" applyBorder="1" applyFont="1">
      <alignment horizontal="right" readingOrder="2"/>
    </xf>
    <xf borderId="22" fillId="2" fontId="30" numFmtId="0" xfId="0" applyAlignment="1" applyBorder="1" applyFont="1">
      <alignment horizontal="center" readingOrder="2"/>
    </xf>
    <xf borderId="23" fillId="0" fontId="14" numFmtId="0" xfId="0" applyBorder="1" applyFont="1"/>
    <xf borderId="24" fillId="0" fontId="14" numFmtId="0" xfId="0" applyBorder="1" applyFont="1"/>
    <xf borderId="25" fillId="4" fontId="35" numFmtId="0" xfId="0" applyAlignment="1" applyBorder="1" applyFont="1">
      <alignment horizontal="center" readingOrder="2"/>
    </xf>
    <xf borderId="26" fillId="4" fontId="35" numFmtId="0" xfId="0" applyAlignment="1" applyBorder="1" applyFont="1">
      <alignment horizontal="center" readingOrder="2"/>
    </xf>
    <xf borderId="27" fillId="4" fontId="35" numFmtId="0" xfId="0" applyAlignment="1" applyBorder="1" applyFont="1">
      <alignment horizontal="center" readingOrder="2"/>
    </xf>
    <xf borderId="28" fillId="8" fontId="34" numFmtId="0" xfId="0" applyAlignment="1" applyBorder="1" applyFont="1">
      <alignment horizontal="center" readingOrder="2" shrinkToFit="0" wrapText="1"/>
    </xf>
    <xf borderId="29" fillId="8" fontId="36" numFmtId="0" xfId="0" applyAlignment="1" applyBorder="1" applyFont="1">
      <alignment horizontal="right" readingOrder="2" shrinkToFit="0" wrapText="1"/>
    </xf>
    <xf borderId="29" fillId="8" fontId="18" numFmtId="0" xfId="0" applyAlignment="1" applyBorder="1" applyFont="1">
      <alignment horizontal="right" readingOrder="2" shrinkToFit="0" wrapText="1"/>
    </xf>
    <xf borderId="29" fillId="8" fontId="18" numFmtId="0" xfId="0" applyAlignment="1" applyBorder="1" applyFont="1">
      <alignment horizontal="center" readingOrder="2" shrinkToFit="0" wrapText="1"/>
    </xf>
    <xf borderId="30" fillId="8" fontId="18" numFmtId="0" xfId="0" applyAlignment="1" applyBorder="1" applyFont="1">
      <alignment horizontal="right" readingOrder="2" shrinkToFit="0" wrapText="1"/>
    </xf>
    <xf borderId="28" fillId="20" fontId="34" numFmtId="0" xfId="0" applyAlignment="1" applyBorder="1" applyFont="1">
      <alignment horizontal="center" readingOrder="2" shrinkToFit="0" wrapText="1"/>
    </xf>
    <xf borderId="29" fillId="20" fontId="8" numFmtId="0" xfId="0" applyAlignment="1" applyBorder="1" applyFont="1">
      <alignment horizontal="right" readingOrder="2" shrinkToFit="0" wrapText="1"/>
    </xf>
    <xf borderId="29" fillId="20" fontId="18" numFmtId="0" xfId="0" applyAlignment="1" applyBorder="1" applyFont="1">
      <alignment horizontal="right" readingOrder="2" shrinkToFit="0" wrapText="1"/>
    </xf>
    <xf borderId="29" fillId="20" fontId="18" numFmtId="0" xfId="0" applyAlignment="1" applyBorder="1" applyFont="1">
      <alignment horizontal="center" readingOrder="2" shrinkToFit="0" wrapText="1"/>
    </xf>
    <xf borderId="30" fillId="20" fontId="18" numFmtId="0" xfId="0" applyAlignment="1" applyBorder="1" applyFont="1">
      <alignment horizontal="right" readingOrder="2" shrinkToFit="0" wrapText="1"/>
    </xf>
    <xf borderId="28" fillId="38" fontId="34" numFmtId="0" xfId="0" applyAlignment="1" applyBorder="1" applyFill="1" applyFont="1">
      <alignment horizontal="center" readingOrder="2" shrinkToFit="0" wrapText="1"/>
    </xf>
    <xf borderId="29" fillId="38" fontId="37" numFmtId="0" xfId="0" applyAlignment="1" applyBorder="1" applyFont="1">
      <alignment horizontal="right" readingOrder="2" shrinkToFit="0" wrapText="1"/>
    </xf>
    <xf borderId="29" fillId="38" fontId="18" numFmtId="0" xfId="0" applyAlignment="1" applyBorder="1" applyFont="1">
      <alignment horizontal="right" readingOrder="2" shrinkToFit="0" wrapText="1"/>
    </xf>
    <xf borderId="29" fillId="38" fontId="18" numFmtId="0" xfId="0" applyAlignment="1" applyBorder="1" applyFont="1">
      <alignment horizontal="center" readingOrder="2" shrinkToFit="0" wrapText="1"/>
    </xf>
    <xf borderId="30" fillId="38" fontId="18" numFmtId="0" xfId="0" applyAlignment="1" applyBorder="1" applyFont="1">
      <alignment horizontal="right" readingOrder="2" shrinkToFit="0" wrapText="1"/>
    </xf>
    <xf borderId="28" fillId="14" fontId="34" numFmtId="0" xfId="0" applyAlignment="1" applyBorder="1" applyFont="1">
      <alignment horizontal="center" readingOrder="2" shrinkToFit="0" wrapText="1"/>
    </xf>
    <xf borderId="29" fillId="14" fontId="38" numFmtId="0" xfId="0" applyAlignment="1" applyBorder="1" applyFont="1">
      <alignment horizontal="right" readingOrder="2" shrinkToFit="0" wrapText="1"/>
    </xf>
    <xf borderId="29" fillId="14" fontId="18" numFmtId="0" xfId="0" applyAlignment="1" applyBorder="1" applyFont="1">
      <alignment horizontal="right" readingOrder="2" shrinkToFit="0" wrapText="1"/>
    </xf>
    <xf borderId="29" fillId="14" fontId="18" numFmtId="0" xfId="0" applyAlignment="1" applyBorder="1" applyFont="1">
      <alignment horizontal="center" readingOrder="2" shrinkToFit="0" wrapText="1"/>
    </xf>
    <xf borderId="30" fillId="14" fontId="18" numFmtId="0" xfId="0" applyAlignment="1" applyBorder="1" applyFont="1">
      <alignment horizontal="right" readingOrder="2" shrinkToFit="0" wrapText="1"/>
    </xf>
    <xf borderId="28" fillId="11" fontId="34" numFmtId="0" xfId="0" applyAlignment="1" applyBorder="1" applyFont="1">
      <alignment horizontal="center" readingOrder="2" shrinkToFit="0" wrapText="1"/>
    </xf>
    <xf borderId="29" fillId="11" fontId="6" numFmtId="0" xfId="0" applyAlignment="1" applyBorder="1" applyFont="1">
      <alignment horizontal="right" readingOrder="2" shrinkToFit="0" wrapText="1"/>
    </xf>
    <xf borderId="29" fillId="11" fontId="18" numFmtId="0" xfId="0" applyAlignment="1" applyBorder="1" applyFont="1">
      <alignment horizontal="right" readingOrder="2" shrinkToFit="0" wrapText="1"/>
    </xf>
    <xf borderId="29" fillId="11" fontId="18" numFmtId="0" xfId="0" applyAlignment="1" applyBorder="1" applyFont="1">
      <alignment horizontal="center" readingOrder="2" shrinkToFit="0" wrapText="1"/>
    </xf>
    <xf borderId="30" fillId="11" fontId="18" numFmtId="0" xfId="0" applyAlignment="1" applyBorder="1" applyFont="1">
      <alignment horizontal="right" readingOrder="2" shrinkToFit="0" wrapText="1"/>
    </xf>
    <xf borderId="28" fillId="31" fontId="34" numFmtId="0" xfId="0" applyAlignment="1" applyBorder="1" applyFont="1">
      <alignment horizontal="center" readingOrder="2" shrinkToFit="0" wrapText="1"/>
    </xf>
    <xf borderId="29" fillId="31" fontId="39" numFmtId="0" xfId="0" applyAlignment="1" applyBorder="1" applyFont="1">
      <alignment horizontal="right" readingOrder="2" shrinkToFit="0" wrapText="1"/>
    </xf>
    <xf borderId="29" fillId="31" fontId="18" numFmtId="0" xfId="0" applyAlignment="1" applyBorder="1" applyFont="1">
      <alignment horizontal="right" readingOrder="2" shrinkToFit="0" wrapText="1"/>
    </xf>
    <xf borderId="29" fillId="31" fontId="18" numFmtId="0" xfId="0" applyAlignment="1" applyBorder="1" applyFont="1">
      <alignment horizontal="center" readingOrder="2" shrinkToFit="0" wrapText="1"/>
    </xf>
    <xf borderId="30" fillId="31" fontId="18" numFmtId="0" xfId="0" applyAlignment="1" applyBorder="1" applyFont="1">
      <alignment horizontal="right" readingOrder="2" shrinkToFit="0" wrapText="1"/>
    </xf>
    <xf borderId="31" fillId="8" fontId="34" numFmtId="0" xfId="0" applyAlignment="1" applyBorder="1" applyFont="1">
      <alignment horizontal="center" readingOrder="2" shrinkToFit="0" wrapText="1"/>
    </xf>
    <xf borderId="32" fillId="8" fontId="40" numFmtId="0" xfId="0" applyAlignment="1" applyBorder="1" applyFont="1">
      <alignment horizontal="right" readingOrder="2" shrinkToFit="0" wrapText="1"/>
    </xf>
    <xf borderId="32" fillId="8" fontId="18" numFmtId="0" xfId="0" applyAlignment="1" applyBorder="1" applyFont="1">
      <alignment horizontal="right" readingOrder="2" shrinkToFit="0" wrapText="1"/>
    </xf>
    <xf borderId="32" fillId="8" fontId="18" numFmtId="0" xfId="0" applyAlignment="1" applyBorder="1" applyFont="1">
      <alignment horizontal="center" readingOrder="2" shrinkToFit="0" wrapText="1"/>
    </xf>
    <xf borderId="33" fillId="8" fontId="18" numFmtId="0" xfId="0" applyAlignment="1" applyBorder="1" applyFont="1">
      <alignment horizontal="right" readingOrder="2" shrinkToFit="0" wrapText="1"/>
    </xf>
    <xf borderId="2" fillId="2" fontId="28" numFmtId="0" xfId="0" applyAlignment="1" applyBorder="1" applyFont="1">
      <alignment horizontal="center" readingOrder="2"/>
    </xf>
    <xf borderId="2" fillId="7" fontId="30" numFmtId="0" xfId="0" applyAlignment="1" applyBorder="1" applyFont="1">
      <alignment horizontal="center" readingOrder="2"/>
    </xf>
    <xf borderId="34" fillId="8" fontId="5" numFmtId="0" xfId="0" applyAlignment="1" applyBorder="1" applyFont="1">
      <alignment horizontal="center" readingOrder="2"/>
    </xf>
    <xf borderId="35" fillId="28" fontId="2" numFmtId="0" xfId="0" applyAlignment="1" applyBorder="1" applyFont="1">
      <alignment horizontal="right" readingOrder="2"/>
    </xf>
    <xf borderId="35" fillId="28" fontId="11" numFmtId="0" xfId="0" applyAlignment="1" applyBorder="1" applyFont="1">
      <alignment horizontal="center" readingOrder="2"/>
    </xf>
    <xf borderId="35" fillId="28" fontId="2" numFmtId="0" xfId="0" applyAlignment="1" applyBorder="1" applyFont="1">
      <alignment horizontal="center" readingOrder="2"/>
    </xf>
    <xf borderId="35" fillId="28" fontId="2" numFmtId="9" xfId="0" applyAlignment="1" applyBorder="1" applyFont="1" applyNumberFormat="1">
      <alignment horizontal="center" readingOrder="2"/>
    </xf>
    <xf borderId="35" fillId="6" fontId="2" numFmtId="0" xfId="0" applyAlignment="1" applyBorder="1" applyFont="1">
      <alignment horizontal="right" readingOrder="2"/>
    </xf>
    <xf borderId="35" fillId="6" fontId="11" numFmtId="165" xfId="0" applyAlignment="1" applyBorder="1" applyFont="1" applyNumberFormat="1">
      <alignment horizontal="center" readingOrder="2"/>
    </xf>
    <xf borderId="35" fillId="6" fontId="2" numFmtId="165" xfId="0" applyAlignment="1" applyBorder="1" applyFont="1" applyNumberFormat="1">
      <alignment horizontal="center" readingOrder="2"/>
    </xf>
    <xf borderId="35" fillId="6" fontId="2" numFmtId="9" xfId="0" applyAlignment="1" applyBorder="1" applyFont="1" applyNumberFormat="1">
      <alignment horizontal="center" readingOrder="2"/>
    </xf>
    <xf borderId="35" fillId="6" fontId="2" numFmtId="0" xfId="0" applyAlignment="1" applyBorder="1" applyFont="1">
      <alignment horizontal="center" readingOrder="2"/>
    </xf>
    <xf borderId="35" fillId="6" fontId="11" numFmtId="0" xfId="0" applyAlignment="1" applyBorder="1" applyFont="1">
      <alignment horizontal="center" readingOrder="2"/>
    </xf>
    <xf borderId="35" fillId="28" fontId="11" numFmtId="165" xfId="0" applyAlignment="1" applyBorder="1" applyFont="1" applyNumberFormat="1">
      <alignment horizontal="center" readingOrder="2"/>
    </xf>
    <xf borderId="35" fillId="28" fontId="2" numFmtId="165" xfId="0" applyAlignment="1" applyBorder="1" applyFont="1" applyNumberFormat="1">
      <alignment horizontal="center" readingOrder="2"/>
    </xf>
    <xf borderId="36" fillId="6" fontId="2" numFmtId="0" xfId="0" applyAlignment="1" applyBorder="1" applyFont="1">
      <alignment horizontal="right" readingOrder="2"/>
    </xf>
    <xf borderId="36" fillId="6" fontId="11" numFmtId="165" xfId="0" applyAlignment="1" applyBorder="1" applyFont="1" applyNumberFormat="1">
      <alignment horizontal="center" readingOrder="2"/>
    </xf>
    <xf borderId="36" fillId="6" fontId="2" numFmtId="165" xfId="0" applyAlignment="1" applyBorder="1" applyFont="1" applyNumberFormat="1">
      <alignment horizontal="center" readingOrder="2"/>
    </xf>
    <xf borderId="36" fillId="6" fontId="2" numFmtId="9" xfId="0" applyAlignment="1" applyBorder="1" applyFont="1" applyNumberFormat="1">
      <alignment horizontal="center" readingOrder="2"/>
    </xf>
    <xf borderId="36" fillId="6" fontId="2" numFmtId="0" xfId="0" applyAlignment="1" applyBorder="1" applyFont="1">
      <alignment horizontal="center" readingOrder="2"/>
    </xf>
    <xf borderId="2" fillId="10" fontId="30" numFmtId="0" xfId="0" applyAlignment="1" applyBorder="1" applyFont="1">
      <alignment horizontal="center" readingOrder="2"/>
    </xf>
    <xf borderId="34" fillId="11" fontId="5" numFmtId="0" xfId="0" applyAlignment="1" applyBorder="1" applyFont="1">
      <alignment horizontal="center" readingOrder="2"/>
    </xf>
    <xf borderId="36" fillId="28" fontId="2" numFmtId="0" xfId="0" applyAlignment="1" applyBorder="1" applyFont="1">
      <alignment horizontal="right" readingOrder="2"/>
    </xf>
    <xf borderId="36" fillId="28" fontId="11" numFmtId="0" xfId="0" applyAlignment="1" applyBorder="1" applyFont="1">
      <alignment horizontal="center" readingOrder="2"/>
    </xf>
    <xf borderId="36" fillId="28" fontId="2" numFmtId="0" xfId="0" applyAlignment="1" applyBorder="1" applyFont="1">
      <alignment horizontal="center" readingOrder="2"/>
    </xf>
    <xf borderId="36" fillId="28" fontId="2" numFmtId="9" xfId="0" applyAlignment="1" applyBorder="1" applyFont="1" applyNumberFormat="1">
      <alignment horizontal="center" readingOrder="2"/>
    </xf>
    <xf borderId="2" fillId="13" fontId="30" numFmtId="0" xfId="0" applyAlignment="1" applyBorder="1" applyFont="1">
      <alignment horizontal="center" readingOrder="2"/>
    </xf>
    <xf borderId="34" fillId="14" fontId="5" numFmtId="0" xfId="0" applyAlignment="1" applyBorder="1" applyFont="1">
      <alignment horizontal="center" readingOrder="2"/>
    </xf>
    <xf borderId="2" fillId="16" fontId="30" numFmtId="0" xfId="0" applyAlignment="1" applyBorder="1" applyFont="1">
      <alignment horizontal="center" readingOrder="2"/>
    </xf>
    <xf borderId="34" fillId="17" fontId="5" numFmtId="0" xfId="0" applyAlignment="1" applyBorder="1" applyFont="1">
      <alignment horizontal="center" readingOrder="2"/>
    </xf>
    <xf borderId="35" fillId="6" fontId="11" numFmtId="166" xfId="0" applyAlignment="1" applyBorder="1" applyFont="1" applyNumberFormat="1">
      <alignment horizontal="center" readingOrder="2"/>
    </xf>
    <xf borderId="35" fillId="6" fontId="2" numFmtId="166" xfId="0" applyAlignment="1" applyBorder="1" applyFont="1" applyNumberFormat="1">
      <alignment horizontal="center" readingOrder="2"/>
    </xf>
    <xf borderId="2" fillId="2" fontId="30" numFmtId="0" xfId="0" applyAlignment="1" applyBorder="1" applyFont="1">
      <alignment horizontal="center" readingOrder="2"/>
    </xf>
    <xf borderId="34" fillId="5" fontId="4" numFmtId="0" xfId="0" applyAlignment="1" applyBorder="1" applyFont="1">
      <alignment horizontal="center" readingOrder="2"/>
    </xf>
    <xf borderId="1" fillId="5" fontId="27" numFmtId="0" xfId="0" applyAlignment="1" applyBorder="1" applyFont="1">
      <alignment horizontal="right" readingOrder="2"/>
    </xf>
    <xf borderId="35" fillId="28" fontId="27" numFmtId="0" xfId="0" applyAlignment="1" applyBorder="1" applyFont="1">
      <alignment horizontal="right" readingOrder="2"/>
    </xf>
    <xf borderId="35" fillId="28" fontId="41" numFmtId="9" xfId="0" applyAlignment="1" applyBorder="1" applyFont="1" applyNumberFormat="1">
      <alignment horizontal="center" readingOrder="2"/>
    </xf>
    <xf borderId="35" fillId="28" fontId="15" numFmtId="0" xfId="0" applyAlignment="1" applyBorder="1" applyFont="1">
      <alignment horizontal="right" readingOrder="2"/>
    </xf>
    <xf borderId="35" fillId="6" fontId="27" numFmtId="0" xfId="0" applyAlignment="1" applyBorder="1" applyFont="1">
      <alignment horizontal="right" readingOrder="2"/>
    </xf>
    <xf borderId="35" fillId="6" fontId="41" numFmtId="9" xfId="0" applyAlignment="1" applyBorder="1" applyFont="1" applyNumberFormat="1">
      <alignment horizontal="center" readingOrder="2"/>
    </xf>
    <xf borderId="35" fillId="6" fontId="15" numFmtId="0" xfId="0" applyAlignment="1" applyBorder="1" applyFont="1">
      <alignment horizontal="right" readingOrder="2"/>
    </xf>
    <xf borderId="36" fillId="6" fontId="27" numFmtId="0" xfId="0" applyAlignment="1" applyBorder="1" applyFont="1">
      <alignment horizontal="right" readingOrder="2"/>
    </xf>
    <xf borderId="36" fillId="6" fontId="41" numFmtId="9" xfId="0" applyAlignment="1" applyBorder="1" applyFont="1" applyNumberFormat="1">
      <alignment horizontal="center" readingOrder="2"/>
    </xf>
    <xf borderId="36" fillId="6" fontId="15" numFmtId="0" xfId="0" applyAlignment="1" applyBorder="1" applyFont="1">
      <alignment horizontal="right" readingOrder="2"/>
    </xf>
  </cellXfs>
  <cellStyles count="1">
    <cellStyle xfId="0" name="Normal" builtinId="0"/>
  </cellStyles>
  <dxfs count="7">
    <dxf>
      <font>
        <b/>
        <color rgb="FF1E8449"/>
      </font>
      <fill>
        <patternFill patternType="solid">
          <fgColor rgb="FFD5F5E3"/>
          <bgColor rgb="FFD5F5E3"/>
        </patternFill>
      </fill>
      <border/>
    </dxf>
    <dxf>
      <font>
        <color rgb="FFB7950B"/>
      </font>
      <fill>
        <patternFill patternType="solid">
          <fgColor rgb="FFFEF9E7"/>
          <bgColor rgb="FFFEF9E7"/>
        </patternFill>
      </fill>
      <border/>
    </dxf>
    <dxf>
      <font>
        <color rgb="FFC0392B"/>
      </font>
      <fill>
        <patternFill patternType="solid">
          <fgColor rgb="FFFDEDEC"/>
          <bgColor rgb="FFFDEDEC"/>
        </patternFill>
      </fill>
      <border/>
    </dxf>
    <dxf>
      <font>
        <color rgb="FF1E8449"/>
      </font>
      <fill>
        <patternFill patternType="none"/>
      </fill>
      <border/>
    </dxf>
    <dxf>
      <font>
        <color rgb="FFC0392B"/>
      </font>
      <fill>
        <patternFill patternType="none"/>
      </fill>
      <border/>
    </dxf>
    <dxf>
      <font>
        <color rgb="FF1E8449"/>
      </font>
      <fill>
        <patternFill patternType="solid">
          <fgColor rgb="FFD5F5E3"/>
          <bgColor rgb="FFD5F5E3"/>
        </patternFill>
      </fill>
      <border/>
    </dxf>
    <dxf>
      <font>
        <color rgb="FF9A7D0A"/>
      </font>
      <fill>
        <patternFill patternType="solid">
          <fgColor rgb="FFFEF9E7"/>
          <bgColor rgb="FFFEF9E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41.86"/>
    <col customWidth="1" min="3" max="3" width="61.0"/>
    <col customWidth="1" min="4" max="4" width="38.14"/>
    <col customWidth="1" min="5" max="5" width="30.43"/>
    <col customWidth="1" min="6" max="26" width="8.71"/>
  </cols>
  <sheetData>
    <row r="1" ht="45.0" customHeight="1">
      <c r="A1" s="1" t="s">
        <v>0</v>
      </c>
      <c r="B1" s="2"/>
      <c r="C1" s="2"/>
      <c r="D1" s="2"/>
      <c r="E1" s="2"/>
    </row>
    <row r="2" ht="30.0" customHeight="1">
      <c r="A2" s="3" t="s">
        <v>1</v>
      </c>
      <c r="B2" s="2"/>
      <c r="C2" s="2"/>
      <c r="D2" s="2"/>
      <c r="E2" s="2"/>
    </row>
    <row r="3">
      <c r="A3" s="4"/>
      <c r="B3" s="2"/>
      <c r="C3" s="2"/>
      <c r="D3" s="2"/>
      <c r="E3" s="2"/>
    </row>
    <row r="4">
      <c r="A4" s="2"/>
      <c r="B4" s="2"/>
      <c r="C4" s="2"/>
      <c r="D4" s="2"/>
      <c r="E4" s="2"/>
    </row>
    <row r="5" ht="36.0" customHeight="1">
      <c r="A5" s="5" t="s">
        <v>2</v>
      </c>
      <c r="B5" s="2"/>
      <c r="C5" s="2"/>
      <c r="D5" s="2"/>
      <c r="E5" s="2"/>
    </row>
    <row r="6">
      <c r="A6" s="6" t="s">
        <v>3</v>
      </c>
      <c r="B6" s="7" t="s">
        <v>4</v>
      </c>
      <c r="C6" s="7" t="s">
        <v>5</v>
      </c>
      <c r="D6" s="7" t="s">
        <v>6</v>
      </c>
      <c r="E6" s="7" t="s">
        <v>7</v>
      </c>
    </row>
    <row r="7">
      <c r="A7" s="8">
        <v>1.0</v>
      </c>
      <c r="B7" s="9" t="s">
        <v>8</v>
      </c>
      <c r="C7" s="10" t="s">
        <v>9</v>
      </c>
      <c r="D7" s="10" t="s">
        <v>10</v>
      </c>
      <c r="E7" s="11" t="s">
        <v>11</v>
      </c>
    </row>
    <row r="8">
      <c r="A8" s="12">
        <v>2.0</v>
      </c>
      <c r="B8" s="13" t="s">
        <v>12</v>
      </c>
      <c r="C8" s="14" t="s">
        <v>13</v>
      </c>
      <c r="D8" s="14" t="s">
        <v>14</v>
      </c>
      <c r="E8" s="15" t="s">
        <v>15</v>
      </c>
    </row>
    <row r="9">
      <c r="A9" s="8">
        <v>3.0</v>
      </c>
      <c r="B9" s="9" t="s">
        <v>16</v>
      </c>
      <c r="C9" s="10" t="s">
        <v>17</v>
      </c>
      <c r="D9" s="10" t="s">
        <v>18</v>
      </c>
      <c r="E9" s="16" t="s">
        <v>19</v>
      </c>
    </row>
    <row r="10">
      <c r="A10" s="12">
        <v>4.0</v>
      </c>
      <c r="B10" s="13" t="s">
        <v>20</v>
      </c>
      <c r="C10" s="14" t="s">
        <v>21</v>
      </c>
      <c r="D10" s="14" t="s">
        <v>22</v>
      </c>
      <c r="E10" s="17" t="s">
        <v>23</v>
      </c>
    </row>
    <row r="11">
      <c r="A11" s="8">
        <v>5.0</v>
      </c>
      <c r="B11" s="9" t="s">
        <v>24</v>
      </c>
      <c r="C11" s="10" t="s">
        <v>25</v>
      </c>
      <c r="D11" s="10" t="s">
        <v>26</v>
      </c>
      <c r="E11" s="16" t="s">
        <v>27</v>
      </c>
    </row>
    <row r="12">
      <c r="A12" s="12">
        <v>6.0</v>
      </c>
      <c r="B12" s="13" t="s">
        <v>28</v>
      </c>
      <c r="C12" s="14" t="s">
        <v>29</v>
      </c>
      <c r="D12" s="14" t="s">
        <v>30</v>
      </c>
      <c r="E12" s="15" t="s">
        <v>31</v>
      </c>
    </row>
    <row r="13">
      <c r="A13" s="8">
        <v>7.0</v>
      </c>
      <c r="B13" s="9" t="s">
        <v>32</v>
      </c>
      <c r="C13" s="10" t="s">
        <v>33</v>
      </c>
      <c r="D13" s="10" t="s">
        <v>34</v>
      </c>
      <c r="E13" s="16" t="s">
        <v>35</v>
      </c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 ht="36.0" customHeight="1">
      <c r="A16" s="1" t="s">
        <v>36</v>
      </c>
      <c r="B16" s="2"/>
      <c r="C16" s="2"/>
      <c r="D16" s="2"/>
      <c r="E16" s="2"/>
    </row>
    <row r="17">
      <c r="A17" s="3" t="s">
        <v>37</v>
      </c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18" t="s">
        <v>38</v>
      </c>
      <c r="B19" s="2"/>
      <c r="C19" s="2"/>
      <c r="D19" s="2"/>
      <c r="E19" s="2"/>
    </row>
    <row r="20">
      <c r="A20" s="19" t="s">
        <v>39</v>
      </c>
      <c r="B20" s="20" t="s">
        <v>40</v>
      </c>
      <c r="C20" s="20" t="s">
        <v>41</v>
      </c>
      <c r="D20" s="20" t="s">
        <v>42</v>
      </c>
      <c r="E20" s="2"/>
    </row>
    <row r="21" ht="15.75" customHeight="1">
      <c r="A21" s="21" t="s">
        <v>43</v>
      </c>
      <c r="B21" s="21" t="s">
        <v>44</v>
      </c>
      <c r="C21" s="22" t="s">
        <v>45</v>
      </c>
      <c r="D21" s="21" t="s">
        <v>46</v>
      </c>
      <c r="E21" s="2"/>
    </row>
    <row r="22" ht="15.75" customHeight="1">
      <c r="A22" s="10" t="s">
        <v>47</v>
      </c>
      <c r="B22" s="10" t="s">
        <v>48</v>
      </c>
      <c r="C22" s="16" t="s">
        <v>49</v>
      </c>
      <c r="D22" s="10" t="s">
        <v>50</v>
      </c>
      <c r="E22" s="2"/>
    </row>
    <row r="23" ht="15.75" customHeight="1">
      <c r="A23" s="2"/>
      <c r="B23" s="2"/>
      <c r="C23" s="2"/>
      <c r="D23" s="2"/>
      <c r="E23" s="2"/>
    </row>
    <row r="24" ht="15.75" customHeight="1">
      <c r="A24" s="18" t="s">
        <v>51</v>
      </c>
      <c r="B24" s="2"/>
      <c r="C24" s="2"/>
      <c r="D24" s="2"/>
      <c r="E24" s="2"/>
    </row>
    <row r="25" ht="15.75" customHeight="1">
      <c r="A25" s="19" t="s">
        <v>52</v>
      </c>
      <c r="B25" s="20" t="s">
        <v>53</v>
      </c>
      <c r="C25" s="20" t="s">
        <v>54</v>
      </c>
      <c r="D25" s="2"/>
      <c r="E25" s="2"/>
    </row>
    <row r="26" ht="15.75" customHeight="1">
      <c r="A26" s="23" t="s">
        <v>55</v>
      </c>
      <c r="B26" s="21" t="s">
        <v>56</v>
      </c>
      <c r="C26" s="22" t="s">
        <v>57</v>
      </c>
      <c r="D26" s="2"/>
      <c r="E26" s="2"/>
    </row>
    <row r="27" ht="15.75" customHeight="1">
      <c r="A27" s="24" t="s">
        <v>58</v>
      </c>
      <c r="B27" s="10" t="s">
        <v>59</v>
      </c>
      <c r="C27" s="16" t="s">
        <v>60</v>
      </c>
      <c r="D27" s="2"/>
      <c r="E27" s="2"/>
    </row>
    <row r="28" ht="15.75" customHeight="1">
      <c r="A28" s="23" t="s">
        <v>61</v>
      </c>
      <c r="B28" s="21" t="s">
        <v>62</v>
      </c>
      <c r="C28" s="22" t="s">
        <v>63</v>
      </c>
      <c r="D28" s="2"/>
      <c r="E28" s="2"/>
    </row>
    <row r="29" ht="15.75" customHeight="1">
      <c r="A29" s="24" t="s">
        <v>64</v>
      </c>
      <c r="B29" s="10" t="s">
        <v>65</v>
      </c>
      <c r="C29" s="16" t="s">
        <v>66</v>
      </c>
      <c r="D29" s="2"/>
      <c r="E29" s="2"/>
    </row>
    <row r="30" ht="15.75" customHeight="1">
      <c r="A30" s="23" t="s">
        <v>67</v>
      </c>
      <c r="B30" s="21" t="s">
        <v>68</v>
      </c>
      <c r="C30" s="22" t="s">
        <v>69</v>
      </c>
      <c r="D30" s="2"/>
      <c r="E30" s="2"/>
    </row>
    <row r="31" ht="15.75" customHeight="1">
      <c r="A31" s="24" t="s">
        <v>70</v>
      </c>
      <c r="B31" s="10" t="s">
        <v>71</v>
      </c>
      <c r="C31" s="16" t="s">
        <v>72</v>
      </c>
      <c r="D31" s="2"/>
      <c r="E31" s="2"/>
    </row>
    <row r="32" ht="15.75" customHeight="1">
      <c r="A32" s="23" t="s">
        <v>73</v>
      </c>
      <c r="B32" s="21" t="s">
        <v>74</v>
      </c>
      <c r="C32" s="22" t="s">
        <v>75</v>
      </c>
      <c r="D32" s="2"/>
      <c r="E32" s="2"/>
    </row>
    <row r="33" ht="15.75" customHeight="1">
      <c r="A33" s="24" t="s">
        <v>76</v>
      </c>
      <c r="B33" s="10" t="s">
        <v>77</v>
      </c>
      <c r="C33" s="16" t="s">
        <v>78</v>
      </c>
      <c r="D33" s="2"/>
      <c r="E33" s="2"/>
    </row>
    <row r="34" ht="15.75" customHeight="1">
      <c r="A34" s="23" t="s">
        <v>79</v>
      </c>
      <c r="B34" s="21" t="s">
        <v>80</v>
      </c>
      <c r="C34" s="22" t="s">
        <v>81</v>
      </c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36.0" customHeight="1">
      <c r="A37" s="1" t="s">
        <v>82</v>
      </c>
      <c r="B37" s="2"/>
      <c r="C37" s="2"/>
      <c r="D37" s="2"/>
      <c r="E37" s="2"/>
    </row>
    <row r="38" ht="15.75" customHeight="1">
      <c r="A38" s="3" t="s">
        <v>83</v>
      </c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5" t="s">
        <v>84</v>
      </c>
      <c r="B40" s="2"/>
      <c r="C40" s="2"/>
      <c r="D40" s="2"/>
      <c r="E40" s="2"/>
    </row>
    <row r="41" ht="15.75" customHeight="1">
      <c r="A41" s="26" t="s">
        <v>85</v>
      </c>
      <c r="B41" s="27" t="s">
        <v>86</v>
      </c>
      <c r="C41" s="27" t="s">
        <v>41</v>
      </c>
      <c r="D41" s="27" t="s">
        <v>87</v>
      </c>
      <c r="E41" s="2"/>
    </row>
    <row r="42" ht="15.75" customHeight="1">
      <c r="A42" s="28" t="s">
        <v>88</v>
      </c>
      <c r="B42" s="29" t="s">
        <v>89</v>
      </c>
      <c r="C42" s="30" t="s">
        <v>90</v>
      </c>
      <c r="D42" s="29" t="s">
        <v>91</v>
      </c>
      <c r="E42" s="2"/>
    </row>
    <row r="43" ht="15.75" customHeight="1">
      <c r="A43" s="24" t="s">
        <v>92</v>
      </c>
      <c r="B43" s="10" t="s">
        <v>93</v>
      </c>
      <c r="C43" s="16" t="s">
        <v>94</v>
      </c>
      <c r="D43" s="10" t="s">
        <v>91</v>
      </c>
      <c r="E43" s="2"/>
    </row>
    <row r="44" ht="15.75" customHeight="1">
      <c r="A44" s="28" t="s">
        <v>95</v>
      </c>
      <c r="B44" s="29" t="s">
        <v>96</v>
      </c>
      <c r="C44" s="30" t="s">
        <v>97</v>
      </c>
      <c r="D44" s="29" t="s">
        <v>91</v>
      </c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5" t="s">
        <v>98</v>
      </c>
      <c r="B46" s="2"/>
      <c r="C46" s="2"/>
      <c r="D46" s="2"/>
      <c r="E46" s="2"/>
    </row>
    <row r="47" ht="15.75" customHeight="1">
      <c r="A47" s="26" t="s">
        <v>99</v>
      </c>
      <c r="B47" s="27" t="s">
        <v>100</v>
      </c>
      <c r="C47" s="27" t="s">
        <v>101</v>
      </c>
      <c r="D47" s="2"/>
      <c r="E47" s="2"/>
    </row>
    <row r="48" ht="15.75" customHeight="1">
      <c r="A48" s="29" t="s">
        <v>102</v>
      </c>
      <c r="B48" s="29" t="s">
        <v>103</v>
      </c>
      <c r="C48" s="30" t="s">
        <v>104</v>
      </c>
      <c r="D48" s="2"/>
      <c r="E48" s="2"/>
    </row>
    <row r="49" ht="15.75" customHeight="1">
      <c r="A49" s="10" t="s">
        <v>105</v>
      </c>
      <c r="B49" s="10" t="s">
        <v>106</v>
      </c>
      <c r="C49" s="16" t="s">
        <v>107</v>
      </c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36.0" customHeight="1">
      <c r="A52" s="1" t="s">
        <v>108</v>
      </c>
      <c r="B52" s="2"/>
      <c r="C52" s="2"/>
      <c r="D52" s="2"/>
      <c r="E52" s="2"/>
    </row>
    <row r="53" ht="15.75" customHeight="1">
      <c r="A53" s="3" t="s">
        <v>109</v>
      </c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31" t="s">
        <v>110</v>
      </c>
      <c r="B55" s="2"/>
      <c r="C55" s="2"/>
      <c r="D55" s="2"/>
      <c r="E55" s="2"/>
    </row>
    <row r="56" ht="15.75" customHeight="1">
      <c r="A56" s="32" t="s">
        <v>111</v>
      </c>
      <c r="B56" s="33" t="s">
        <v>112</v>
      </c>
      <c r="C56" s="33" t="s">
        <v>113</v>
      </c>
      <c r="D56" s="33" t="s">
        <v>114</v>
      </c>
      <c r="E56" s="2"/>
    </row>
    <row r="57" ht="15.75" customHeight="1">
      <c r="A57" s="34" t="s">
        <v>115</v>
      </c>
      <c r="B57" s="35" t="s">
        <v>116</v>
      </c>
      <c r="C57" s="35" t="s">
        <v>117</v>
      </c>
      <c r="D57" s="35" t="s">
        <v>118</v>
      </c>
      <c r="E57" s="2"/>
    </row>
    <row r="58" ht="15.75" customHeight="1">
      <c r="A58" s="24" t="s">
        <v>119</v>
      </c>
      <c r="B58" s="16" t="s">
        <v>120</v>
      </c>
      <c r="C58" s="16" t="s">
        <v>121</v>
      </c>
      <c r="D58" s="16" t="s">
        <v>122</v>
      </c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31" t="s">
        <v>123</v>
      </c>
      <c r="B60" s="2"/>
      <c r="C60" s="2"/>
      <c r="D60" s="2"/>
      <c r="E60" s="2"/>
    </row>
    <row r="61" ht="15.75" customHeight="1">
      <c r="A61" s="32" t="s">
        <v>124</v>
      </c>
      <c r="B61" s="33" t="s">
        <v>125</v>
      </c>
      <c r="C61" s="33" t="s">
        <v>126</v>
      </c>
      <c r="D61" s="33" t="s">
        <v>127</v>
      </c>
      <c r="E61" s="2"/>
    </row>
    <row r="62" ht="15.75" customHeight="1">
      <c r="A62" s="34" t="s">
        <v>128</v>
      </c>
      <c r="B62" s="36" t="s">
        <v>129</v>
      </c>
      <c r="C62" s="35" t="s">
        <v>130</v>
      </c>
      <c r="D62" s="36" t="s">
        <v>131</v>
      </c>
      <c r="E62" s="2"/>
    </row>
    <row r="63" ht="15.75" customHeight="1">
      <c r="A63" s="24" t="s">
        <v>132</v>
      </c>
      <c r="B63" s="10" t="s">
        <v>133</v>
      </c>
      <c r="C63" s="16" t="s">
        <v>134</v>
      </c>
      <c r="D63" s="10" t="s">
        <v>135</v>
      </c>
      <c r="E63" s="2"/>
    </row>
    <row r="64" ht="15.75" customHeight="1">
      <c r="A64" s="34" t="s">
        <v>136</v>
      </c>
      <c r="B64" s="36" t="s">
        <v>137</v>
      </c>
      <c r="C64" s="35" t="s">
        <v>138</v>
      </c>
      <c r="D64" s="36" t="s">
        <v>139</v>
      </c>
      <c r="E64" s="2"/>
    </row>
    <row r="65" ht="15.75" customHeight="1">
      <c r="A65" s="24" t="s">
        <v>140</v>
      </c>
      <c r="B65" s="10" t="s">
        <v>141</v>
      </c>
      <c r="C65" s="16" t="s">
        <v>142</v>
      </c>
      <c r="D65" s="10" t="s">
        <v>143</v>
      </c>
      <c r="E65" s="2"/>
    </row>
    <row r="66" ht="15.75" customHeight="1">
      <c r="A66" s="37" t="s">
        <v>144</v>
      </c>
      <c r="B66" s="38" t="s">
        <v>145</v>
      </c>
      <c r="C66" s="35" t="s">
        <v>146</v>
      </c>
      <c r="D66" s="36" t="s">
        <v>147</v>
      </c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36.0" customHeight="1">
      <c r="A69" s="1" t="s">
        <v>148</v>
      </c>
      <c r="B69" s="2"/>
      <c r="C69" s="2"/>
      <c r="D69" s="2"/>
      <c r="E69" s="2"/>
    </row>
    <row r="70" ht="15.75" customHeight="1">
      <c r="A70" s="3" t="s">
        <v>149</v>
      </c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39" t="s">
        <v>150</v>
      </c>
      <c r="B72" s="2"/>
      <c r="C72" s="2"/>
      <c r="D72" s="2"/>
      <c r="E72" s="2"/>
    </row>
    <row r="73" ht="15.75" customHeight="1">
      <c r="A73" s="40" t="s">
        <v>39</v>
      </c>
      <c r="B73" s="41" t="s">
        <v>40</v>
      </c>
      <c r="C73" s="41" t="s">
        <v>41</v>
      </c>
      <c r="D73" s="41" t="s">
        <v>151</v>
      </c>
      <c r="E73" s="2"/>
    </row>
    <row r="74" ht="15.75" customHeight="1">
      <c r="A74" s="42" t="s">
        <v>152</v>
      </c>
      <c r="B74" s="43" t="s">
        <v>153</v>
      </c>
      <c r="C74" s="44" t="s">
        <v>154</v>
      </c>
      <c r="D74" s="43" t="s">
        <v>155</v>
      </c>
      <c r="E74" s="2"/>
    </row>
    <row r="75" ht="15.75" customHeight="1">
      <c r="A75" s="24" t="s">
        <v>156</v>
      </c>
      <c r="B75" s="10" t="s">
        <v>157</v>
      </c>
      <c r="C75" s="16" t="s">
        <v>158</v>
      </c>
      <c r="D75" s="10" t="s">
        <v>159</v>
      </c>
      <c r="E75" s="2"/>
    </row>
    <row r="76" ht="15.75" customHeight="1">
      <c r="A76" s="42" t="s">
        <v>160</v>
      </c>
      <c r="B76" s="43" t="s">
        <v>161</v>
      </c>
      <c r="C76" s="45" t="s">
        <v>162</v>
      </c>
      <c r="D76" s="43" t="s">
        <v>163</v>
      </c>
      <c r="E76" s="2"/>
    </row>
    <row r="77" ht="15.75" customHeight="1">
      <c r="A77" s="24" t="s">
        <v>164</v>
      </c>
      <c r="B77" s="10" t="s">
        <v>165</v>
      </c>
      <c r="C77" s="11" t="s">
        <v>166</v>
      </c>
      <c r="D77" s="10" t="s">
        <v>167</v>
      </c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46" t="s">
        <v>168</v>
      </c>
      <c r="B80" s="2"/>
      <c r="C80" s="2"/>
      <c r="D80" s="2"/>
      <c r="E80" s="2"/>
    </row>
    <row r="81" ht="15.75" customHeight="1">
      <c r="A81" s="47" t="s">
        <v>169</v>
      </c>
      <c r="B81" s="48" t="s">
        <v>170</v>
      </c>
      <c r="C81" s="48" t="s">
        <v>171</v>
      </c>
      <c r="D81" s="48" t="s">
        <v>172</v>
      </c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36.0" customHeight="1">
      <c r="A84" s="49" t="s">
        <v>173</v>
      </c>
      <c r="B84" s="50"/>
      <c r="C84" s="50"/>
      <c r="D84" s="50"/>
      <c r="E84" s="2"/>
    </row>
    <row r="85" ht="15.75" customHeight="1">
      <c r="A85" s="51" t="s">
        <v>124</v>
      </c>
      <c r="B85" s="51" t="s">
        <v>174</v>
      </c>
      <c r="C85" s="51" t="s">
        <v>175</v>
      </c>
      <c r="D85" s="51" t="s">
        <v>176</v>
      </c>
      <c r="E85" s="2"/>
    </row>
    <row r="86" ht="15.75" customHeight="1">
      <c r="A86" s="14" t="s">
        <v>132</v>
      </c>
      <c r="B86" s="14" t="s">
        <v>177</v>
      </c>
      <c r="C86" s="15" t="s">
        <v>178</v>
      </c>
      <c r="D86" s="14" t="s">
        <v>179</v>
      </c>
      <c r="E86" s="2"/>
    </row>
    <row r="87" ht="15.75" customHeight="1">
      <c r="A87" s="10" t="s">
        <v>180</v>
      </c>
      <c r="B87" s="10" t="s">
        <v>28</v>
      </c>
      <c r="C87" s="16" t="s">
        <v>181</v>
      </c>
      <c r="D87" s="10" t="s">
        <v>182</v>
      </c>
      <c r="E87" s="2"/>
    </row>
    <row r="88" ht="15.75" customHeight="1">
      <c r="A88" s="14" t="s">
        <v>136</v>
      </c>
      <c r="B88" s="14" t="s">
        <v>24</v>
      </c>
      <c r="C88" s="15" t="s">
        <v>183</v>
      </c>
      <c r="D88" s="14" t="s">
        <v>184</v>
      </c>
      <c r="E88" s="2"/>
    </row>
    <row r="89" ht="15.75" customHeight="1">
      <c r="A89" s="10" t="s">
        <v>185</v>
      </c>
      <c r="B89" s="10" t="s">
        <v>16</v>
      </c>
      <c r="C89" s="16" t="s">
        <v>186</v>
      </c>
      <c r="D89" s="10" t="s">
        <v>187</v>
      </c>
      <c r="E89" s="2"/>
    </row>
    <row r="90" ht="15.75" customHeight="1">
      <c r="A90" s="14" t="s">
        <v>188</v>
      </c>
      <c r="B90" s="14" t="s">
        <v>32</v>
      </c>
      <c r="C90" s="15" t="s">
        <v>189</v>
      </c>
      <c r="D90" s="14" t="s">
        <v>190</v>
      </c>
      <c r="E90" s="2"/>
    </row>
    <row r="91" ht="15.75" customHeight="1">
      <c r="A91" s="2"/>
      <c r="B91" s="2"/>
      <c r="C91" s="2"/>
      <c r="D91" s="2"/>
      <c r="E91" s="2"/>
    </row>
    <row r="92" ht="36.0" customHeight="1">
      <c r="A92" s="51" t="s">
        <v>191</v>
      </c>
      <c r="B92" s="52"/>
      <c r="C92" s="52"/>
      <c r="D92" s="52"/>
      <c r="E92" s="2"/>
    </row>
    <row r="93" ht="15.75" customHeight="1">
      <c r="A93" s="53" t="s">
        <v>192</v>
      </c>
      <c r="B93" s="2" t="str">
        <f>ARRAY_CONSTRAIN(ARRAYFORMULA( بيانات تدخلها أنت — غيّرها بمعلوماتك), 1, 1)</f>
        <v>#ERROR!</v>
      </c>
      <c r="C93" s="2"/>
      <c r="D93" s="2"/>
      <c r="E93" s="2"/>
    </row>
    <row r="94" ht="15.75" customHeight="1">
      <c r="A94" s="54" t="s">
        <v>193</v>
      </c>
      <c r="B94" s="2" t="str">
        <f>ARRAY_CONSTRAIN(ARRAYFORMULA( صيغة تعمل تلقائياً — لا تعدّلها), 1, 1)</f>
        <v>#ERROR!</v>
      </c>
      <c r="C94" s="2"/>
      <c r="D94" s="2"/>
      <c r="E94" s="2"/>
    </row>
    <row r="95" ht="15.75" customHeight="1">
      <c r="A95" s="55" t="s">
        <v>194</v>
      </c>
      <c r="B95" s="2" t="str">
        <f>ARRAY_CONSTRAIN(ARRAYFORMULA( تحذير — يتطلب تدخلاً عاجلاً), 1, 1)</f>
        <v>#ERROR!</v>
      </c>
      <c r="C95" s="2"/>
      <c r="D95" s="2"/>
      <c r="E95" s="2"/>
    </row>
    <row r="96" ht="15.75" customHeight="1">
      <c r="A96" s="10" t="s">
        <v>195</v>
      </c>
      <c r="B96" s="2" t="str">
        <f>ARRAY_CONSTRAIN(ARRAYFORMULA( بيانات فارغة — انتظار إدخالك), 1, 1)</f>
        <v>#ERROR!</v>
      </c>
      <c r="C96" s="2"/>
      <c r="D96" s="2"/>
      <c r="E96" s="2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6" width="16.14"/>
    <col customWidth="1" min="7" max="7" width="34.29"/>
    <col customWidth="1" min="8" max="8" width="16.14"/>
    <col customWidth="1" min="9" max="12" width="9.14"/>
    <col customWidth="1" min="13" max="26" width="8.71"/>
  </cols>
  <sheetData>
    <row r="1" ht="45.0" customHeight="1">
      <c r="A1" s="56" t="s">
        <v>196</v>
      </c>
      <c r="B1" s="57"/>
      <c r="C1" s="57"/>
      <c r="D1" s="57"/>
      <c r="E1" s="57"/>
      <c r="F1" s="57"/>
      <c r="G1" s="57"/>
      <c r="H1" s="58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24.75" customHeight="1">
      <c r="A2" s="60" t="s">
        <v>197</v>
      </c>
      <c r="B2" s="57"/>
      <c r="C2" s="57"/>
      <c r="D2" s="57"/>
      <c r="E2" s="57"/>
      <c r="F2" s="57"/>
      <c r="G2" s="57"/>
      <c r="H2" s="58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6.0" customHeight="1"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32.25" customHeight="1">
      <c r="A4" s="61" t="s">
        <v>198</v>
      </c>
      <c r="B4" s="57"/>
      <c r="C4" s="57"/>
      <c r="D4" s="57"/>
      <c r="E4" s="57"/>
      <c r="F4" s="57"/>
      <c r="G4" s="57"/>
      <c r="H4" s="58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27.75" customHeight="1">
      <c r="A5" s="62" t="s">
        <v>199</v>
      </c>
      <c r="B5" s="63" t="s">
        <v>200</v>
      </c>
      <c r="C5" s="64" t="s">
        <v>201</v>
      </c>
      <c r="D5" s="64" t="s">
        <v>200</v>
      </c>
      <c r="E5" s="65" t="s">
        <v>202</v>
      </c>
      <c r="F5" s="65" t="s">
        <v>200</v>
      </c>
      <c r="G5" s="66" t="s">
        <v>203</v>
      </c>
      <c r="H5" s="67" t="s">
        <v>200</v>
      </c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30.0" customHeight="1">
      <c r="A6" s="68" t="s">
        <v>204</v>
      </c>
      <c r="B6" s="69">
        <f>COUNTIF('متابعة الأداء'!D5:D12,"&gt;="&amp;1)</f>
        <v>5</v>
      </c>
      <c r="C6" s="70" t="s">
        <v>204</v>
      </c>
      <c r="D6" s="71">
        <f>COUNTIF('متابعة الأداء'!D16:D22,"&gt;="&amp;1)</f>
        <v>2</v>
      </c>
      <c r="E6" s="72" t="s">
        <v>204</v>
      </c>
      <c r="F6" s="73">
        <f>COUNTIF('متابعة الأداء'!D26:D32,"&gt;="&amp;1)</f>
        <v>3</v>
      </c>
      <c r="G6" s="74" t="s">
        <v>204</v>
      </c>
      <c r="H6" s="75">
        <f>COUNTIF('متابعة الأداء'!D36:D43,"&gt;="&amp;1)</f>
        <v>2</v>
      </c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30.0" customHeight="1">
      <c r="A7" s="76" t="s">
        <v>205</v>
      </c>
      <c r="B7" s="77">
        <f>COUNTIFS('متابعة الأداء'!D5:D12,"&lt;"&amp;1,'متابعة الأداء'!D5:D12,"&lt;&gt;")</f>
        <v>3</v>
      </c>
      <c r="C7" s="78" t="s">
        <v>205</v>
      </c>
      <c r="D7" s="79">
        <f>COUNTIFS('متابعة الأداء'!D16:D22,"&lt;"&amp;1,'متابعة الأداء'!D16:D22,"&lt;&gt;")</f>
        <v>5</v>
      </c>
      <c r="E7" s="80" t="s">
        <v>205</v>
      </c>
      <c r="F7" s="81">
        <f>COUNTIFS('متابعة الأداء'!D26:D32,"&lt;"&amp;1,'متابعة الأداء'!D26:D32,"&lt;&gt;")</f>
        <v>4</v>
      </c>
      <c r="G7" s="82" t="s">
        <v>205</v>
      </c>
      <c r="H7" s="83">
        <f>COUNTIFS('متابعة الأداء'!D36:D43,"&lt;"&amp;1,'متابعة الأداء'!D36:D43,"&lt;&gt;")</f>
        <v>6</v>
      </c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30.0" customHeight="1">
      <c r="A8" s="84" t="s">
        <v>206</v>
      </c>
      <c r="B8" s="85">
        <f>IFERROR(AVERAGEIF('متابعة الأداء'!D5:D12,"&lt;&gt;",'متابعة الأداء'!D5:D12),0)</f>
        <v>1.124270833</v>
      </c>
      <c r="C8" s="86" t="s">
        <v>206</v>
      </c>
      <c r="D8" s="87">
        <f>IFERROR(AVERAGEIF('متابعة الأداء'!D16:D22,"&lt;&gt;",'متابعة الأداء'!D16:D22),0)</f>
        <v>0.9244680328</v>
      </c>
      <c r="E8" s="88" t="s">
        <v>206</v>
      </c>
      <c r="F8" s="89">
        <f>IFERROR(AVERAGEIF('متابعة الأداء'!D26:D32,"&lt;&gt;",'متابعة الأداء'!D26:D32),0)</f>
        <v>0.9759809524</v>
      </c>
      <c r="G8" s="90" t="s">
        <v>206</v>
      </c>
      <c r="H8" s="91">
        <f>IFERROR(AVERAGEIF('متابعة الأداء'!D36:D43,"&lt;&gt;",'متابعة الأداء'!D36:D43),0)</f>
        <v>0.9860916667</v>
      </c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6.0" customHeight="1"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ht="32.25" customHeight="1">
      <c r="A10" s="92" t="s">
        <v>207</v>
      </c>
      <c r="B10" s="57"/>
      <c r="C10" s="57"/>
      <c r="D10" s="57"/>
      <c r="E10" s="57"/>
      <c r="F10" s="57"/>
      <c r="G10" s="57"/>
      <c r="H10" s="58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93" t="s">
        <v>208</v>
      </c>
      <c r="B11" s="94" t="s">
        <v>200</v>
      </c>
      <c r="C11" s="94" t="s">
        <v>208</v>
      </c>
      <c r="D11" s="94" t="s">
        <v>200</v>
      </c>
      <c r="E11" s="94" t="s">
        <v>208</v>
      </c>
      <c r="F11" s="94" t="s">
        <v>200</v>
      </c>
      <c r="G11" s="94" t="s">
        <v>208</v>
      </c>
      <c r="H11" s="95" t="s">
        <v>200</v>
      </c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ht="35.25" customHeight="1">
      <c r="A12" s="96" t="s">
        <v>209</v>
      </c>
      <c r="B12" s="97">
        <f>B6+D6+F6+H6</f>
        <v>12</v>
      </c>
      <c r="C12" s="98" t="s">
        <v>210</v>
      </c>
      <c r="D12" s="99">
        <f>B7+D7+F7+H7</f>
        <v>18</v>
      </c>
      <c r="E12" s="98" t="s">
        <v>211</v>
      </c>
      <c r="F12" s="100">
        <f>IFERROR(AVERAGEIF('متابعة الأداء'!D5:D43,"&lt;&gt;",'متابعة الأداء'!D5:D43),0)</f>
        <v>1.00620143</v>
      </c>
      <c r="G12" s="98" t="s">
        <v>212</v>
      </c>
      <c r="H12" s="101" t="str">
        <f>IF(F12&gt;=1,"🟢 ممتاز",IF(F12&gt;=0.7,"🟡 جيد",IF(F12&gt;=0.5,"🟠 مقبول",IF(F12&gt;0,"🔴 يحتاج تحسين","⚪ لا توجد بيانات"))))</f>
        <v>🟢 ممتاز</v>
      </c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ht="6.0" customHeight="1">
      <c r="A13" s="102"/>
      <c r="B13" s="102"/>
      <c r="C13" s="102"/>
      <c r="D13" s="102"/>
      <c r="E13" s="102"/>
      <c r="F13" s="102"/>
      <c r="G13" s="102"/>
      <c r="H13" s="102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ht="30.0" customHeight="1">
      <c r="A14" s="103" t="s">
        <v>213</v>
      </c>
      <c r="B14" s="57"/>
      <c r="C14" s="57"/>
      <c r="D14" s="57"/>
      <c r="E14" s="57"/>
      <c r="F14" s="57"/>
      <c r="G14" s="57"/>
      <c r="H14" s="58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>
      <c r="A15" s="104" t="s">
        <v>214</v>
      </c>
      <c r="B15" s="105" t="s">
        <v>127</v>
      </c>
      <c r="C15" s="105" t="s">
        <v>215</v>
      </c>
      <c r="D15" s="105" t="s">
        <v>161</v>
      </c>
      <c r="E15" s="106" t="s">
        <v>216</v>
      </c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ht="45.0" customHeight="1">
      <c r="A16" s="107" t="s">
        <v>217</v>
      </c>
      <c r="B16" s="108">
        <f>'متابعة الأداء'!B5</f>
        <v>500</v>
      </c>
      <c r="C16" s="108">
        <f>'متابعة الأداء'!C5</f>
        <v>620</v>
      </c>
      <c r="D16" s="109">
        <f>'متابعة الأداء'!D5</f>
        <v>1.24</v>
      </c>
      <c r="E16" s="110" t="str">
        <f>IF('متابعة الأداء'!D5="","⚪",IF('متابعة الأداء'!D5&gt;=1,"✅ محقق",IF('متابعة الأداء'!D5&gt;=0.7,"⚠️ قريب","❌ أقل")))</f>
        <v>✅ محقق</v>
      </c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ht="45.0" customHeight="1">
      <c r="A17" s="111" t="s">
        <v>218</v>
      </c>
      <c r="B17" s="112">
        <f>'متابعة الأداء'!B6</f>
        <v>0.05</v>
      </c>
      <c r="C17" s="112">
        <f>'متابعة الأداء'!C6</f>
        <v>0.048</v>
      </c>
      <c r="D17" s="113">
        <f>'متابعة الأداء'!D6</f>
        <v>0.96</v>
      </c>
      <c r="E17" s="114" t="str">
        <f>IF('متابعة الأداء'!D6="","⚪",IF('متابعة الأداء'!D6&gt;=1,"✅ محقق",IF('متابعة الأداء'!D6&gt;=0.7,"⚠️ قريب","❌ أقل")))</f>
        <v>⚠️ قريب</v>
      </c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45.0" customHeight="1">
      <c r="A18" s="107" t="s">
        <v>219</v>
      </c>
      <c r="B18" s="108">
        <f>'متابعة الأداء'!B7</f>
        <v>80</v>
      </c>
      <c r="C18" s="108">
        <f>'متابعة الأداء'!C7</f>
        <v>95</v>
      </c>
      <c r="D18" s="109">
        <f>'متابعة الأداء'!D7</f>
        <v>1.1875</v>
      </c>
      <c r="E18" s="110" t="str">
        <f>IF('متابعة الأداء'!D7="","⚪",IF('متابعة الأداء'!D7&gt;=1,"✅ محقق",IF('متابعة الأداء'!D7&gt;=0.7,"⚠️ قريب","❌ أقل")))</f>
        <v>✅ محقق</v>
      </c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>
      <c r="A19" s="115" t="s">
        <v>220</v>
      </c>
      <c r="B19" s="116">
        <f>'متابعة الأداء'!B11</f>
        <v>25</v>
      </c>
      <c r="C19" s="116">
        <f>'متابعة الأداء'!C11</f>
        <v>31</v>
      </c>
      <c r="D19" s="117">
        <f>'متابعة الأداء'!D11</f>
        <v>1.24</v>
      </c>
      <c r="E19" s="118" t="str">
        <f>IF('متابعة الأداء'!D11="","⚪",IF('متابعة الأداء'!D11&gt;=1,"✅ محقق",IF('متابعة الأداء'!D11&gt;=0.7,"⚠️ قريب","❌ أقل")))</f>
        <v>✅ محقق</v>
      </c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30.0" customHeight="1">
      <c r="A21" s="103" t="s">
        <v>221</v>
      </c>
      <c r="B21" s="57"/>
      <c r="C21" s="57"/>
      <c r="D21" s="57"/>
      <c r="E21" s="57"/>
      <c r="F21" s="57"/>
      <c r="G21" s="57"/>
      <c r="H21" s="58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32.25" customHeight="1">
      <c r="A22" s="104" t="s">
        <v>214</v>
      </c>
      <c r="B22" s="105" t="s">
        <v>127</v>
      </c>
      <c r="C22" s="105" t="s">
        <v>215</v>
      </c>
      <c r="D22" s="105" t="s">
        <v>161</v>
      </c>
      <c r="E22" s="106" t="s">
        <v>216</v>
      </c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32.25" customHeight="1">
      <c r="A23" s="107" t="s">
        <v>222</v>
      </c>
      <c r="B23" s="108">
        <f>'متابعة الأداء'!B16</f>
        <v>3000</v>
      </c>
      <c r="C23" s="108">
        <f>'متابعة الأداء'!C16</f>
        <v>2750</v>
      </c>
      <c r="D23" s="109">
        <f>'متابعة الأداء'!D16</f>
        <v>0.9166666667</v>
      </c>
      <c r="E23" s="110" t="str">
        <f>IF('متابعة الأداء'!D16="","⚪",IF('متابعة الأداء'!D16&gt;=1,"✅ محقق",IF('متابعة الأداء'!D16&gt;=0.7,"⚠️ قريب","❌ أقل")))</f>
        <v>⚠️ قريب</v>
      </c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32.25" customHeight="1">
      <c r="A24" s="111" t="s">
        <v>223</v>
      </c>
      <c r="B24" s="112">
        <f>'متابعة الأداء'!B19</f>
        <v>0.04</v>
      </c>
      <c r="C24" s="112">
        <f>'متابعة الأداء'!C19</f>
        <v>0.036</v>
      </c>
      <c r="D24" s="113">
        <f>'متابعة الأداء'!D19</f>
        <v>0.9</v>
      </c>
      <c r="E24" s="114" t="str">
        <f>IF('متابعة الأداء'!D19="","⚪",IF('متابعة الأداء'!D19&gt;=1,"✅ محقق",IF('متابعة الأداء'!D19&gt;=0.7,"⚠️ قريب","❌ أقل")))</f>
        <v>⚠️ قريب</v>
      </c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32.25" customHeight="1">
      <c r="A25" s="107" t="s">
        <v>224</v>
      </c>
      <c r="B25" s="108">
        <f>'متابعة الأداء'!B21</f>
        <v>85</v>
      </c>
      <c r="C25" s="108">
        <f>'متابعة الأداء'!C21</f>
        <v>67</v>
      </c>
      <c r="D25" s="109">
        <f>'متابعة الأداء'!D21</f>
        <v>0.7882352941</v>
      </c>
      <c r="E25" s="110" t="str">
        <f>IF('متابعة الأداء'!D21="","⚪",IF('متابعة الأداء'!D21&gt;=1,"✅ محقق",IF('متابعة الأداء'!D21&gt;=0.7,"⚠️ قريب","❌ أقل")))</f>
        <v>⚠️ قريب</v>
      </c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32.25" customHeight="1">
      <c r="A26" s="115" t="s">
        <v>225</v>
      </c>
      <c r="B26" s="116">
        <f>'متابعة الأداء'!B22</f>
        <v>18</v>
      </c>
      <c r="C26" s="116">
        <f>'متابعة الأداء'!C22</f>
        <v>14</v>
      </c>
      <c r="D26" s="117">
        <f>'متابعة الأداء'!D22</f>
        <v>0.7777777778</v>
      </c>
      <c r="E26" s="118" t="str">
        <f>IF('متابعة الأداء'!D22="","⚪",IF('متابعة الأداء'!D22&gt;=1,"✅ محقق",IF('متابعة الأداء'!D22&gt;=0.7,"⚠️ قريب","❌ أقل")))</f>
        <v>⚠️ قريب</v>
      </c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32.25" customHeight="1"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ht="30.0" customHeight="1">
      <c r="A28" s="103" t="s">
        <v>226</v>
      </c>
      <c r="B28" s="57"/>
      <c r="C28" s="57"/>
      <c r="D28" s="57"/>
      <c r="E28" s="57"/>
      <c r="F28" s="57"/>
      <c r="G28" s="57"/>
      <c r="H28" s="58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ht="15.75" customHeight="1">
      <c r="A29" s="104" t="s">
        <v>214</v>
      </c>
      <c r="B29" s="105" t="s">
        <v>127</v>
      </c>
      <c r="C29" s="105" t="s">
        <v>215</v>
      </c>
      <c r="D29" s="105" t="s">
        <v>161</v>
      </c>
      <c r="E29" s="106" t="s">
        <v>216</v>
      </c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ht="15.75" customHeight="1">
      <c r="A30" s="107" t="s">
        <v>227</v>
      </c>
      <c r="B30" s="108">
        <f>'متابعة الأداء'!B26</f>
        <v>200</v>
      </c>
      <c r="C30" s="108">
        <f>'متابعة الأداء'!C26</f>
        <v>235</v>
      </c>
      <c r="D30" s="109">
        <f>'متابعة الأداء'!D26</f>
        <v>1.175</v>
      </c>
      <c r="E30" s="110" t="str">
        <f>IF('متابعة الأداء'!D26="","⚪",IF('متابعة الأداء'!D26&gt;=1,"✅ محقق",IF('متابعة الأداء'!D26&gt;=0.7,"⚠️ قريب","❌ أقل")))</f>
        <v>✅ محقق</v>
      </c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15.75" customHeight="1">
      <c r="A31" s="119" t="s">
        <v>228</v>
      </c>
      <c r="B31" s="120">
        <f>'متابعة الأداء'!B27</f>
        <v>0.25</v>
      </c>
      <c r="C31" s="120">
        <f>'متابعة الأداء'!C27</f>
        <v>0.28</v>
      </c>
      <c r="D31" s="121">
        <f>'متابعة الأداء'!D27</f>
        <v>1.12</v>
      </c>
      <c r="E31" s="122" t="str">
        <f>IF('متابعة الأداء'!D27="","⚪",IF('متابعة الأداء'!D27&gt;=1,"✅ محقق",IF('متابعة الأداء'!D27&gt;=0.7,"⚠️ قريب","❌ أقل")))</f>
        <v>✅ محقق</v>
      </c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15.75" customHeight="1">
      <c r="A32" s="119" t="s">
        <v>229</v>
      </c>
      <c r="B32" s="120">
        <f>'متابعة الأداء'!B28</f>
        <v>0.04</v>
      </c>
      <c r="C32" s="120">
        <f>'متابعة الأداء'!C28</f>
        <v>0.035</v>
      </c>
      <c r="D32" s="121">
        <f>'متابعة الأداء'!D28</f>
        <v>0.875</v>
      </c>
      <c r="E32" s="122" t="str">
        <f>IF('متابعة الأداء'!D28="","⚪",IF('متابعة الأداء'!D28&gt;=1,"✅ محقق",IF('متابعة الأداء'!D28&gt;=0.7,"⚠️ قريب","❌ أقل")))</f>
        <v>⚠️ قريب</v>
      </c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ht="15.75" customHeight="1">
      <c r="A33" s="123" t="s">
        <v>230</v>
      </c>
      <c r="B33" s="124">
        <f>'متابعة الأداء'!B31</f>
        <v>0.025</v>
      </c>
      <c r="C33" s="124">
        <f>'متابعة الأداء'!C31</f>
        <v>0.02</v>
      </c>
      <c r="D33" s="125">
        <f>'متابعة الأداء'!D31</f>
        <v>0.8</v>
      </c>
      <c r="E33" s="126" t="str">
        <f>IF('متابعة الأداء'!D31="","⚪",IF('متابعة الأداء'!D31&gt;=1,"✅ محقق",IF('متابعة الأداء'!D31&gt;=0.7,"⚠️ قريب","❌ أقل")))</f>
        <v>⚠️ قريب</v>
      </c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ht="15.7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ht="30.0" customHeight="1">
      <c r="A35" s="103" t="s">
        <v>231</v>
      </c>
      <c r="B35" s="57"/>
      <c r="C35" s="57"/>
      <c r="D35" s="57"/>
      <c r="E35" s="57"/>
      <c r="F35" s="57"/>
      <c r="G35" s="57"/>
      <c r="H35" s="58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24.0" customHeight="1">
      <c r="A36" s="127" t="s">
        <v>214</v>
      </c>
      <c r="B36" s="128" t="s">
        <v>127</v>
      </c>
      <c r="C36" s="128" t="s">
        <v>215</v>
      </c>
      <c r="D36" s="128" t="s">
        <v>161</v>
      </c>
      <c r="E36" s="129" t="s">
        <v>216</v>
      </c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ht="24.0" customHeight="1">
      <c r="A37" s="130" t="s">
        <v>232</v>
      </c>
      <c r="B37" s="131">
        <f>'متابعة الأداء'!B36</f>
        <v>15000</v>
      </c>
      <c r="C37" s="131">
        <f>'متابعة الأداء'!C36</f>
        <v>13916</v>
      </c>
      <c r="D37" s="132">
        <f>'متابعة الأداء'!D36</f>
        <v>0.9277333333</v>
      </c>
      <c r="E37" s="133" t="str">
        <f t="shared" ref="E37:E42" si="1">IF(D37="","⚪",IF(D37&gt;=1,"✅",IF(D37&gt;=0.7,"⚠️","❌")))</f>
        <v>⚠️</v>
      </c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ht="24.0" customHeight="1">
      <c r="A38" s="134" t="s">
        <v>233</v>
      </c>
      <c r="B38" s="135">
        <f>'متابعة الأداء'!B37</f>
        <v>30</v>
      </c>
      <c r="C38" s="135">
        <f>'متابعة الأداء'!C37</f>
        <v>28</v>
      </c>
      <c r="D38" s="136">
        <f>'متابعة الأداء'!D37</f>
        <v>0.9333333333</v>
      </c>
      <c r="E38" s="137" t="str">
        <f t="shared" si="1"/>
        <v>⚠️</v>
      </c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ht="24.0" customHeight="1">
      <c r="A39" s="130" t="s">
        <v>234</v>
      </c>
      <c r="B39" s="131">
        <f>'متابعة الأداء'!B38</f>
        <v>497</v>
      </c>
      <c r="C39" s="131">
        <f>'متابعة الأداء'!C38</f>
        <v>497</v>
      </c>
      <c r="D39" s="132">
        <f>'متابعة الأداء'!D38</f>
        <v>1</v>
      </c>
      <c r="E39" s="133" t="str">
        <f t="shared" si="1"/>
        <v>✅</v>
      </c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ht="24.0" customHeight="1">
      <c r="A40" s="134" t="s">
        <v>235</v>
      </c>
      <c r="B40" s="138">
        <f>'متابعة الأداء'!B39</f>
        <v>0.03</v>
      </c>
      <c r="C40" s="138">
        <f>'متابعة الأداء'!C39</f>
        <v>0.025</v>
      </c>
      <c r="D40" s="136">
        <f>'متابعة الأداء'!D39</f>
        <v>0.8333333333</v>
      </c>
      <c r="E40" s="137" t="str">
        <f t="shared" si="1"/>
        <v>⚠️</v>
      </c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ht="24.0" customHeight="1">
      <c r="A41" s="130" t="s">
        <v>236</v>
      </c>
      <c r="B41" s="131">
        <f>'متابعة الأداء'!B40</f>
        <v>1200</v>
      </c>
      <c r="C41" s="131">
        <f>'متابعة الأداء'!C40</f>
        <v>950</v>
      </c>
      <c r="D41" s="132">
        <f>'متابعة الأداء'!D40</f>
        <v>0.7916666667</v>
      </c>
      <c r="E41" s="133" t="str">
        <f t="shared" si="1"/>
        <v>⚠️</v>
      </c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24.0" customHeight="1">
      <c r="A42" s="139" t="s">
        <v>237</v>
      </c>
      <c r="B42" s="140">
        <f>'متابعة الأداء'!B41</f>
        <v>3</v>
      </c>
      <c r="C42" s="140">
        <f>'متابعة الأداء'!C41</f>
        <v>5.958</v>
      </c>
      <c r="D42" s="141">
        <f>'متابعة الأداء'!D41</f>
        <v>1.986</v>
      </c>
      <c r="E42" s="142" t="str">
        <f t="shared" si="1"/>
        <v>✅</v>
      </c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15.75" customHeight="1"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30.0" customHeight="1">
      <c r="A44" s="103" t="s">
        <v>238</v>
      </c>
      <c r="B44" s="57"/>
      <c r="C44" s="57"/>
      <c r="D44" s="57"/>
      <c r="E44" s="57"/>
      <c r="F44" s="57"/>
      <c r="G44" s="57"/>
      <c r="H44" s="58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24.0" customHeight="1">
      <c r="A45" s="127" t="s">
        <v>239</v>
      </c>
      <c r="B45" s="128" t="s">
        <v>240</v>
      </c>
      <c r="C45" s="128" t="s">
        <v>127</v>
      </c>
      <c r="D45" s="128" t="s">
        <v>241</v>
      </c>
      <c r="E45" s="128" t="s">
        <v>242</v>
      </c>
      <c r="F45" s="129" t="s">
        <v>243</v>
      </c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24.0" customHeight="1">
      <c r="A46" s="130" t="s">
        <v>244</v>
      </c>
      <c r="B46" s="131" t="str">
        <f>'قمع المبيعات'!B5</f>
        <v>Awareness (اكتشاف)</v>
      </c>
      <c r="C46" s="131" t="str">
        <f>'قمع المبيعات'!C5</f>
        <v>يعرف أنك موجود</v>
      </c>
      <c r="D46" s="131" t="str">
        <f>'قمع المبيعات'!F5</f>
        <v>100% (القاعدة)</v>
      </c>
      <c r="E46" s="131" t="str">
        <f>'قمع المبيعات'!G5</f>
        <v>مشاهدات + وصول</v>
      </c>
      <c r="F46" s="133" t="str">
        <f>'قمع المبيعات'!D5</f>
        <v>Instagram Reels + Posts + Stories</v>
      </c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24.0" customHeight="1">
      <c r="A47" s="134" t="s">
        <v>245</v>
      </c>
      <c r="B47" s="135" t="str">
        <f>'قمع المبيعات'!B6</f>
        <v>Interest (اهتمام)</v>
      </c>
      <c r="C47" s="135" t="str">
        <f>'قمع المبيعات'!C6</f>
        <v>يتابعك ويتفاعل</v>
      </c>
      <c r="D47" s="135" t="str">
        <f>'قمع المبيعات'!F6</f>
        <v>30-50%</v>
      </c>
      <c r="E47" s="135" t="str">
        <f>'قمع المبيعات'!G6</f>
        <v>متابعين جدد + تفاعل</v>
      </c>
      <c r="F47" s="137" t="str">
        <f>'قمع المبيعات'!D6</f>
        <v>ManyChat + Instagram DM</v>
      </c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24.0" customHeight="1">
      <c r="A48" s="130" t="s">
        <v>246</v>
      </c>
      <c r="B48" s="131" t="str">
        <f>'قمع المبيعات'!B7</f>
        <v>Desire (رغبة)</v>
      </c>
      <c r="C48" s="131" t="str">
        <f>'قمع المبيعات'!C7</f>
        <v>يريد منتجك</v>
      </c>
      <c r="D48" s="131" t="str">
        <f>'قمع المبيعات'!F7</f>
        <v>10-20%</v>
      </c>
      <c r="E48" s="131" t="str">
        <f>'قمع المبيعات'!G7</f>
        <v>نقرات على الروابط</v>
      </c>
      <c r="F48" s="133" t="str">
        <f>'قمع المبيعات'!D7</f>
        <v>Email + ManyChat Sequences</v>
      </c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24.0" customHeight="1">
      <c r="A49" s="134" t="s">
        <v>247</v>
      </c>
      <c r="B49" s="135" t="str">
        <f>'قمع المبيعات'!B8</f>
        <v>Decision (قرار)</v>
      </c>
      <c r="C49" s="135" t="str">
        <f>'قمع المبيعات'!C8</f>
        <v>مستعد للشراء</v>
      </c>
      <c r="D49" s="135" t="str">
        <f>'قمع المبيعات'!F8</f>
        <v>5-10%</v>
      </c>
      <c r="E49" s="135" t="str">
        <f>'قمع المبيعات'!G8</f>
        <v>زيارات صفحة المبيعات</v>
      </c>
      <c r="F49" s="137" t="str">
        <f>'قمع المبيعات'!D8</f>
        <v>صفحة مبيعات + عرض محدود</v>
      </c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24.0" customHeight="1">
      <c r="A50" s="130" t="s">
        <v>248</v>
      </c>
      <c r="B50" s="131" t="str">
        <f>'قمع المبيعات'!B9</f>
        <v>Purchase (شراء)</v>
      </c>
      <c r="C50" s="131" t="str">
        <f>'قمع المبيعات'!C9</f>
        <v>يشتري المنتج</v>
      </c>
      <c r="D50" s="131" t="str">
        <f>'قمع المبيعات'!F9</f>
        <v>2-5%</v>
      </c>
      <c r="E50" s="131" t="str">
        <f>'قمع المبيعات'!G9</f>
        <v>عدد المبيعات + الإيراد</v>
      </c>
      <c r="F50" s="133" t="str">
        <f>'قمع المبيعات'!D9</f>
        <v>صفحة دفع + ManyChat تأكيد</v>
      </c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24.0" customHeight="1">
      <c r="A51" s="139" t="s">
        <v>249</v>
      </c>
      <c r="B51" s="143" t="str">
        <f>'قمع المبيعات'!B10</f>
        <v>Retention (ولاء)</v>
      </c>
      <c r="C51" s="143" t="str">
        <f>'قمع المبيعات'!C10</f>
        <v>يشتري مرة أخرى</v>
      </c>
      <c r="D51" s="143" t="str">
        <f>'قمع المبيعات'!F10</f>
        <v>20-40% من المشترين</v>
      </c>
      <c r="E51" s="143" t="str">
        <f>'قمع المبيعات'!G10</f>
        <v>معدل إعادة الشراء</v>
      </c>
      <c r="F51" s="142" t="str">
        <f>'قمع المبيعات'!D10</f>
        <v>Email + مجتمع خاص</v>
      </c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15.75" customHeight="1"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15.75" customHeight="1"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15.75" customHeight="1"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15.75" customHeight="1"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15.75" customHeight="1"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ht="15.75" customHeight="1"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ht="15.75" customHeight="1"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ht="15.75" customHeight="1"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15.75" customHeight="1"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ht="15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9">
    <mergeCell ref="A35:H35"/>
    <mergeCell ref="A44:H44"/>
    <mergeCell ref="A1:H1"/>
    <mergeCell ref="A2:H2"/>
    <mergeCell ref="A4:H4"/>
    <mergeCell ref="A10:H10"/>
    <mergeCell ref="A14:H14"/>
    <mergeCell ref="A21:H21"/>
    <mergeCell ref="A28:H28"/>
  </mergeCells>
  <conditionalFormatting sqref="D16:D19">
    <cfRule type="cellIs" dxfId="0" priority="1" operator="greaterThanOrEqual">
      <formula>1</formula>
    </cfRule>
  </conditionalFormatting>
  <conditionalFormatting sqref="D16:D19">
    <cfRule type="cellIs" dxfId="1" priority="2" operator="between">
      <formula>0.7</formula>
      <formula>0.999</formula>
    </cfRule>
  </conditionalFormatting>
  <conditionalFormatting sqref="D16:D19">
    <cfRule type="cellIs" dxfId="2" priority="3" operator="between">
      <formula>0</formula>
      <formula>0.699</formula>
    </cfRule>
  </conditionalFormatting>
  <conditionalFormatting sqref="D23:D26">
    <cfRule type="cellIs" dxfId="0" priority="4" operator="greaterThanOrEqual">
      <formula>1</formula>
    </cfRule>
  </conditionalFormatting>
  <conditionalFormatting sqref="D23:D26">
    <cfRule type="cellIs" dxfId="1" priority="5" operator="between">
      <formula>0.7</formula>
      <formula>0.999</formula>
    </cfRule>
  </conditionalFormatting>
  <conditionalFormatting sqref="D23:D26">
    <cfRule type="cellIs" dxfId="2" priority="6" operator="between">
      <formula>0</formula>
      <formula>0.699</formula>
    </cfRule>
  </conditionalFormatting>
  <conditionalFormatting sqref="D30:D33">
    <cfRule type="cellIs" dxfId="0" priority="7" operator="greaterThanOrEqual">
      <formula>1</formula>
    </cfRule>
  </conditionalFormatting>
  <conditionalFormatting sqref="D30:D33">
    <cfRule type="cellIs" dxfId="1" priority="8" operator="between">
      <formula>0.7</formula>
      <formula>0.999</formula>
    </cfRule>
  </conditionalFormatting>
  <conditionalFormatting sqref="D30:D33">
    <cfRule type="cellIs" dxfId="2" priority="9" operator="between">
      <formula>0</formula>
      <formula>0.699</formula>
    </cfRule>
  </conditionalFormatting>
  <conditionalFormatting sqref="D37:D42">
    <cfRule type="cellIs" dxfId="0" priority="10" operator="greaterThanOrEqual">
      <formula>1</formula>
    </cfRule>
  </conditionalFormatting>
  <conditionalFormatting sqref="D37:D42">
    <cfRule type="cellIs" dxfId="1" priority="11" operator="between">
      <formula>0.7</formula>
      <formula>0.999</formula>
    </cfRule>
  </conditionalFormatting>
  <conditionalFormatting sqref="D37:D42">
    <cfRule type="cellIs" dxfId="2" priority="12" operator="between">
      <formula>0</formula>
      <formula>0.699</formula>
    </cfRule>
  </conditionalFormatting>
  <conditionalFormatting sqref="B12">
    <cfRule type="cellIs" dxfId="3" priority="13" operator="greaterThanOrEqual">
      <formula>1</formula>
    </cfRule>
  </conditionalFormatting>
  <conditionalFormatting sqref="D12">
    <cfRule type="cellIs" dxfId="4" priority="14" operator="lessThan">
      <formula>0</formula>
    </cfRule>
  </conditionalFormatting>
  <conditionalFormatting sqref="E16:E19">
    <cfRule type="containsText" dxfId="5" priority="15" operator="containsText" text="✅">
      <formula>NOT(ISERROR(SEARCH(("✅"),(E16))))</formula>
    </cfRule>
  </conditionalFormatting>
  <conditionalFormatting sqref="E16:E19">
    <cfRule type="containsText" dxfId="6" priority="16" operator="containsText" text="⚠️">
      <formula>NOT(ISERROR(SEARCH(("⚠️"),(E16))))</formula>
    </cfRule>
  </conditionalFormatting>
  <conditionalFormatting sqref="E16:E19">
    <cfRule type="containsText" dxfId="2" priority="17" operator="containsText" text="❌">
      <formula>NOT(ISERROR(SEARCH(("❌"),(E16))))</formula>
    </cfRule>
  </conditionalFormatting>
  <conditionalFormatting sqref="E23:E26">
    <cfRule type="containsText" dxfId="5" priority="18" operator="containsText" text="✅">
      <formula>NOT(ISERROR(SEARCH(("✅"),(E23))))</formula>
    </cfRule>
  </conditionalFormatting>
  <conditionalFormatting sqref="E23:E26">
    <cfRule type="containsText" dxfId="6" priority="19" operator="containsText" text="⚠️">
      <formula>NOT(ISERROR(SEARCH(("⚠️"),(E23))))</formula>
    </cfRule>
  </conditionalFormatting>
  <conditionalFormatting sqref="E23:E26">
    <cfRule type="containsText" dxfId="2" priority="20" operator="containsText" text="❌">
      <formula>NOT(ISERROR(SEARCH(("❌"),(E23))))</formula>
    </cfRule>
  </conditionalFormatting>
  <conditionalFormatting sqref="E30:E33">
    <cfRule type="containsText" dxfId="5" priority="21" operator="containsText" text="✅">
      <formula>NOT(ISERROR(SEARCH(("✅"),(E30))))</formula>
    </cfRule>
  </conditionalFormatting>
  <conditionalFormatting sqref="E30:E33">
    <cfRule type="containsText" dxfId="6" priority="22" operator="containsText" text="⚠️">
      <formula>NOT(ISERROR(SEARCH(("⚠️"),(E30))))</formula>
    </cfRule>
  </conditionalFormatting>
  <conditionalFormatting sqref="E30:E33">
    <cfRule type="containsText" dxfId="2" priority="23" operator="containsText" text="❌">
      <formula>NOT(ISERROR(SEARCH(("❌"),(E30))))</formula>
    </cfRule>
  </conditionalFormatting>
  <conditionalFormatting sqref="E37:E42">
    <cfRule type="containsText" dxfId="5" priority="24" operator="containsText" text="✅">
      <formula>NOT(ISERROR(SEARCH(("✅"),(E37))))</formula>
    </cfRule>
  </conditionalFormatting>
  <conditionalFormatting sqref="E37:E42">
    <cfRule type="containsText" dxfId="6" priority="25" operator="containsText" text="⚠️">
      <formula>NOT(ISERROR(SEARCH(("⚠️"),(E37))))</formula>
    </cfRule>
  </conditionalFormatting>
  <conditionalFormatting sqref="E37:E42">
    <cfRule type="containsText" dxfId="2" priority="26" operator="containsText" text="❌">
      <formula>NOT(ISERROR(SEARCH(("❌"),(E37))))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3" width="34.29"/>
    <col customWidth="1" min="4" max="4" width="19.0"/>
    <col customWidth="1" min="5" max="5" width="38.14"/>
    <col customWidth="1" min="6" max="6" width="22.86"/>
    <col customWidth="1" min="7" max="8" width="9.14"/>
    <col customWidth="1" min="9" max="26" width="8.71"/>
  </cols>
  <sheetData>
    <row r="1" ht="45.0" customHeight="1">
      <c r="A1" s="144" t="s">
        <v>250</v>
      </c>
      <c r="B1" s="57"/>
      <c r="C1" s="57"/>
      <c r="D1" s="57"/>
      <c r="E1" s="57"/>
      <c r="F1" s="57"/>
      <c r="G1" s="57"/>
      <c r="H1" s="58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ht="27.75" customHeight="1">
      <c r="A2" s="146" t="s">
        <v>251</v>
      </c>
      <c r="B2" s="57"/>
      <c r="C2" s="57"/>
      <c r="D2" s="57"/>
      <c r="E2" s="57"/>
      <c r="F2" s="57"/>
      <c r="G2" s="57"/>
      <c r="H2" s="58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</row>
    <row r="3" ht="6.0" customHeight="1">
      <c r="A3" s="147"/>
      <c r="B3" s="147"/>
      <c r="C3" s="147"/>
      <c r="D3" s="147"/>
      <c r="E3" s="147"/>
      <c r="F3" s="147"/>
      <c r="G3" s="147"/>
      <c r="H3" s="147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</row>
    <row r="4" ht="32.25" customHeight="1">
      <c r="A4" s="148" t="s">
        <v>252</v>
      </c>
      <c r="B4" s="57"/>
      <c r="C4" s="57"/>
      <c r="D4" s="57"/>
      <c r="E4" s="57"/>
      <c r="F4" s="57"/>
      <c r="G4" s="57"/>
      <c r="H4" s="58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</row>
    <row r="5" ht="27.75" customHeight="1">
      <c r="A5" s="149" t="s">
        <v>253</v>
      </c>
      <c r="B5" s="150" t="s">
        <v>254</v>
      </c>
      <c r="C5" s="150" t="s">
        <v>255</v>
      </c>
      <c r="D5" s="150" t="s">
        <v>256</v>
      </c>
      <c r="E5" s="151" t="s">
        <v>257</v>
      </c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</row>
    <row r="6" ht="50.25" customHeight="1">
      <c r="A6" s="152" t="s">
        <v>258</v>
      </c>
      <c r="B6" s="153" t="s">
        <v>259</v>
      </c>
      <c r="C6" s="153" t="s">
        <v>260</v>
      </c>
      <c r="D6" s="154">
        <v>9.0</v>
      </c>
      <c r="E6" s="155" t="s">
        <v>261</v>
      </c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</row>
    <row r="7" ht="50.25" customHeight="1">
      <c r="A7" s="156" t="s">
        <v>262</v>
      </c>
      <c r="B7" s="157" t="s">
        <v>263</v>
      </c>
      <c r="C7" s="157" t="s">
        <v>264</v>
      </c>
      <c r="D7" s="158">
        <v>6.0</v>
      </c>
      <c r="E7" s="159" t="s">
        <v>265</v>
      </c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ht="50.25" customHeight="1">
      <c r="A8" s="152" t="s">
        <v>266</v>
      </c>
      <c r="B8" s="153" t="s">
        <v>267</v>
      </c>
      <c r="C8" s="153" t="s">
        <v>268</v>
      </c>
      <c r="D8" s="154">
        <v>8.0</v>
      </c>
      <c r="E8" s="155" t="s">
        <v>269</v>
      </c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 ht="50.25" customHeight="1">
      <c r="A9" s="160" t="s">
        <v>270</v>
      </c>
      <c r="B9" s="161" t="s">
        <v>271</v>
      </c>
      <c r="C9" s="161" t="s">
        <v>272</v>
      </c>
      <c r="D9" s="162">
        <v>5.0</v>
      </c>
      <c r="E9" s="163" t="s">
        <v>273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ht="35.25" customHeight="1">
      <c r="A10" s="164"/>
      <c r="B10" s="57"/>
      <c r="C10" s="57"/>
      <c r="D10" s="57"/>
      <c r="E10" s="57"/>
      <c r="F10" s="57"/>
      <c r="G10" s="57"/>
      <c r="H10" s="58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</row>
    <row r="11" ht="6.0" customHeight="1">
      <c r="A11" s="165" t="s">
        <v>274</v>
      </c>
      <c r="B11" s="57"/>
      <c r="C11" s="57"/>
      <c r="D11" s="57"/>
      <c r="E11" s="58"/>
      <c r="F11" s="147"/>
      <c r="G11" s="147"/>
      <c r="H11" s="147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ht="32.25" customHeight="1">
      <c r="A13" s="166" t="s">
        <v>275</v>
      </c>
      <c r="B13" s="57"/>
      <c r="C13" s="57"/>
      <c r="D13" s="57"/>
      <c r="E13" s="57"/>
      <c r="F13" s="57"/>
      <c r="G13" s="57"/>
      <c r="H13" s="58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 ht="27.75" customHeight="1">
      <c r="A14" s="167" t="s">
        <v>52</v>
      </c>
      <c r="B14" s="168" t="s">
        <v>276</v>
      </c>
      <c r="C14" s="168" t="s">
        <v>254</v>
      </c>
      <c r="D14" s="169" t="s">
        <v>277</v>
      </c>
      <c r="E14" s="170" t="s">
        <v>278</v>
      </c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ht="45.0" customHeight="1">
      <c r="A15" s="152">
        <v>1.0</v>
      </c>
      <c r="B15" s="153" t="s">
        <v>279</v>
      </c>
      <c r="C15" s="153" t="s">
        <v>280</v>
      </c>
      <c r="D15" s="171" t="s">
        <v>281</v>
      </c>
      <c r="E15" s="172" t="s">
        <v>282</v>
      </c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ht="45.0" customHeight="1">
      <c r="A16" s="156">
        <v>2.0</v>
      </c>
      <c r="B16" s="157" t="s">
        <v>283</v>
      </c>
      <c r="C16" s="157" t="s">
        <v>284</v>
      </c>
      <c r="D16" s="173" t="s">
        <v>285</v>
      </c>
      <c r="E16" s="174" t="s">
        <v>286</v>
      </c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ht="45.0" customHeight="1">
      <c r="A17" s="152">
        <v>3.0</v>
      </c>
      <c r="B17" s="153" t="s">
        <v>287</v>
      </c>
      <c r="C17" s="153" t="s">
        <v>288</v>
      </c>
      <c r="D17" s="171" t="s">
        <v>289</v>
      </c>
      <c r="E17" s="172" t="s">
        <v>290</v>
      </c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 ht="45.0" customHeight="1">
      <c r="A18" s="156">
        <v>4.0</v>
      </c>
      <c r="B18" s="157" t="s">
        <v>291</v>
      </c>
      <c r="C18" s="157" t="s">
        <v>292</v>
      </c>
      <c r="D18" s="173" t="s">
        <v>293</v>
      </c>
      <c r="E18" s="174" t="s">
        <v>294</v>
      </c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ht="45.0" customHeight="1">
      <c r="A19" s="152">
        <v>5.0</v>
      </c>
      <c r="B19" s="153" t="s">
        <v>295</v>
      </c>
      <c r="C19" s="153" t="s">
        <v>296</v>
      </c>
      <c r="D19" s="171" t="s">
        <v>297</v>
      </c>
      <c r="E19" s="172" t="s">
        <v>298</v>
      </c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ht="45.0" customHeight="1">
      <c r="A20" s="156">
        <v>6.0</v>
      </c>
      <c r="B20" s="157" t="s">
        <v>299</v>
      </c>
      <c r="C20" s="157" t="s">
        <v>300</v>
      </c>
      <c r="D20" s="173" t="s">
        <v>301</v>
      </c>
      <c r="E20" s="174" t="s">
        <v>302</v>
      </c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ht="45.0" customHeight="1">
      <c r="A21" s="152">
        <v>7.0</v>
      </c>
      <c r="B21" s="153" t="s">
        <v>303</v>
      </c>
      <c r="C21" s="153" t="s">
        <v>304</v>
      </c>
      <c r="D21" s="171" t="s">
        <v>305</v>
      </c>
      <c r="E21" s="172" t="s">
        <v>306</v>
      </c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ht="45.0" customHeight="1">
      <c r="A22" s="156">
        <v>8.0</v>
      </c>
      <c r="B22" s="157" t="s">
        <v>307</v>
      </c>
      <c r="C22" s="157" t="s">
        <v>308</v>
      </c>
      <c r="D22" s="173" t="s">
        <v>309</v>
      </c>
      <c r="E22" s="174" t="s">
        <v>310</v>
      </c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ht="45.0" customHeight="1">
      <c r="A23" s="175">
        <v>9.0</v>
      </c>
      <c r="B23" s="176" t="s">
        <v>311</v>
      </c>
      <c r="C23" s="176" t="s">
        <v>312</v>
      </c>
      <c r="D23" s="176" t="s">
        <v>313</v>
      </c>
      <c r="E23" s="177" t="s">
        <v>314</v>
      </c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ht="6.0" customHeight="1">
      <c r="A24" s="147"/>
      <c r="B24" s="147"/>
      <c r="C24" s="147"/>
      <c r="D24" s="147"/>
      <c r="E24" s="147"/>
      <c r="F24" s="147"/>
      <c r="G24" s="147"/>
      <c r="H24" s="147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ht="32.25" customHeight="1">
      <c r="A25" s="178" t="s">
        <v>315</v>
      </c>
      <c r="B25" s="57"/>
      <c r="C25" s="57"/>
      <c r="D25" s="57"/>
      <c r="E25" s="57"/>
      <c r="F25" s="57"/>
      <c r="G25" s="57"/>
      <c r="H25" s="58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ht="27.75" customHeight="1">
      <c r="A26" s="179" t="s">
        <v>316</v>
      </c>
      <c r="B26" s="180" t="s">
        <v>317</v>
      </c>
      <c r="C26" s="180" t="s">
        <v>318</v>
      </c>
      <c r="D26" s="180" t="s">
        <v>319</v>
      </c>
      <c r="E26" s="180" t="s">
        <v>127</v>
      </c>
      <c r="F26" s="181" t="s">
        <v>320</v>
      </c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ht="35.25" customHeight="1">
      <c r="A27" s="152" t="s">
        <v>321</v>
      </c>
      <c r="B27" s="153" t="s">
        <v>322</v>
      </c>
      <c r="C27" s="171" t="s">
        <v>323</v>
      </c>
      <c r="D27" s="182">
        <v>0.0</v>
      </c>
      <c r="E27" s="153" t="s">
        <v>324</v>
      </c>
      <c r="F27" s="172" t="s">
        <v>325</v>
      </c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ht="35.25" customHeight="1">
      <c r="A28" s="156" t="s">
        <v>326</v>
      </c>
      <c r="B28" s="157" t="s">
        <v>327</v>
      </c>
      <c r="C28" s="173" t="s">
        <v>328</v>
      </c>
      <c r="D28" s="183" t="s">
        <v>329</v>
      </c>
      <c r="E28" s="157" t="s">
        <v>330</v>
      </c>
      <c r="F28" s="174" t="s">
        <v>331</v>
      </c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ht="35.25" customHeight="1">
      <c r="A29" s="152" t="s">
        <v>332</v>
      </c>
      <c r="B29" s="153" t="s">
        <v>333</v>
      </c>
      <c r="C29" s="171" t="s">
        <v>334</v>
      </c>
      <c r="D29" s="182">
        <v>497.0</v>
      </c>
      <c r="E29" s="153" t="s">
        <v>335</v>
      </c>
      <c r="F29" s="172" t="s">
        <v>336</v>
      </c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ht="35.25" customHeight="1">
      <c r="A30" s="156" t="s">
        <v>337</v>
      </c>
      <c r="B30" s="157" t="s">
        <v>338</v>
      </c>
      <c r="C30" s="173" t="s">
        <v>339</v>
      </c>
      <c r="D30" s="183">
        <v>2497.0</v>
      </c>
      <c r="E30" s="157" t="s">
        <v>340</v>
      </c>
      <c r="F30" s="174" t="s">
        <v>341</v>
      </c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 ht="35.25" customHeight="1">
      <c r="A31" s="175" t="s">
        <v>342</v>
      </c>
      <c r="B31" s="176" t="s">
        <v>343</v>
      </c>
      <c r="C31" s="184" t="s">
        <v>344</v>
      </c>
      <c r="D31" s="185">
        <v>97.0</v>
      </c>
      <c r="E31" s="176" t="s">
        <v>345</v>
      </c>
      <c r="F31" s="177" t="s">
        <v>346</v>
      </c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ht="15.75" customHeight="1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ht="15.75" customHeight="1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ht="15.75" customHeight="1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ht="15.75" customHeight="1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ht="15.75" customHeight="1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ht="15.75" customHeight="1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ht="15.75" customHeight="1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ht="15.75" customHeight="1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ht="15.75" customHeight="1">
      <c r="A40" s="145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ht="15.75" customHeight="1">
      <c r="A41" s="145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ht="15.75" customHeight="1">
      <c r="A42" s="145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ht="15.75" customHeight="1">
      <c r="A43" s="145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ht="15.75" customHeight="1">
      <c r="A44" s="145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ht="15.75" customHeight="1">
      <c r="A45" s="145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ht="15.75" customHeight="1">
      <c r="A46" s="145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ht="15.75" customHeight="1">
      <c r="A47" s="145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ht="15.75" customHeight="1">
      <c r="A48" s="145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ht="15.75" customHeight="1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ht="15.75" customHeight="1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ht="15.75" customHeight="1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ht="15.75" customHeight="1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ht="15.75" customHeight="1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ht="15.75" customHeight="1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ht="15.75" customHeight="1">
      <c r="A55" s="145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ht="15.75" customHeight="1">
      <c r="A56" s="145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ht="15.75" customHeight="1">
      <c r="A57" s="145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ht="15.75" customHeight="1">
      <c r="A58" s="145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ht="15.75" customHeight="1">
      <c r="A59" s="145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ht="15.75" customHeight="1">
      <c r="A60" s="145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ht="15.75" customHeight="1">
      <c r="A61" s="145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ht="15.75" customHeight="1">
      <c r="A62" s="145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ht="15.75" customHeight="1">
      <c r="A63" s="145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ht="15.75" customHeight="1">
      <c r="A64" s="145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ht="15.75" customHeight="1">
      <c r="A65" s="145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ht="15.75" customHeight="1">
      <c r="A66" s="145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ht="15.75" customHeight="1">
      <c r="A67" s="145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ht="15.75" customHeight="1">
      <c r="A68" s="145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ht="15.75" customHeight="1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ht="15.75" customHeight="1">
      <c r="A70" s="145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ht="15.75" customHeight="1">
      <c r="A71" s="145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ht="15.75" customHeight="1">
      <c r="A72" s="145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ht="15.75" customHeight="1">
      <c r="A73" s="145"/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ht="15.75" customHeight="1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ht="15.75" customHeight="1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ht="15.75" customHeight="1">
      <c r="A76" s="145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ht="15.75" customHeight="1">
      <c r="A77" s="145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ht="15.75" customHeight="1">
      <c r="A78" s="145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ht="15.75" customHeight="1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ht="15.75" customHeight="1">
      <c r="A80" s="145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ht="15.75" customHeight="1">
      <c r="A81" s="145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ht="15.75" customHeight="1">
      <c r="A82" s="145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ht="15.75" customHeight="1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ht="15.75" customHeight="1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ht="15.75" customHeight="1">
      <c r="A85" s="145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ht="15.75" customHeight="1">
      <c r="A86" s="145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ht="15.75" customHeight="1">
      <c r="A87" s="145"/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ht="15.75" customHeight="1">
      <c r="A88" s="145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ht="15.75" customHeight="1">
      <c r="A89" s="145"/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ht="15.75" customHeight="1">
      <c r="A90" s="145"/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ht="15.75" customHeight="1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ht="15.75" customHeight="1">
      <c r="A92" s="145"/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ht="15.75" customHeight="1">
      <c r="A93" s="145"/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ht="15.75" customHeight="1">
      <c r="A94" s="145"/>
      <c r="B94" s="145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ht="15.75" customHeight="1">
      <c r="A95" s="145"/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ht="15.75" customHeight="1">
      <c r="A96" s="145"/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ht="15.75" customHeight="1">
      <c r="A97" s="145"/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ht="15.75" customHeight="1">
      <c r="A98" s="145"/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ht="15.75" customHeight="1">
      <c r="A99" s="145"/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ht="15.75" customHeight="1">
      <c r="A100" s="145"/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ht="15.75" customHeight="1">
      <c r="A101" s="145"/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ht="15.75" customHeight="1">
      <c r="A102" s="145"/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ht="15.75" customHeight="1">
      <c r="A103" s="145"/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ht="15.75" customHeight="1">
      <c r="A104" s="145"/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ht="15.75" customHeight="1">
      <c r="A105" s="145"/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ht="15.75" customHeight="1">
      <c r="A106" s="145"/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ht="15.75" customHeight="1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ht="15.75" customHeight="1">
      <c r="A108" s="145"/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ht="15.75" customHeight="1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ht="15.75" customHeight="1">
      <c r="A110" s="145"/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ht="15.75" customHeight="1">
      <c r="A111" s="145"/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ht="15.75" customHeight="1">
      <c r="A112" s="145"/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ht="15.75" customHeight="1">
      <c r="A113" s="145"/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ht="15.75" customHeight="1">
      <c r="A114" s="145"/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ht="15.75" customHeight="1">
      <c r="A115" s="145"/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ht="15.75" customHeight="1">
      <c r="A116" s="145"/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ht="15.75" customHeight="1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ht="15.75" customHeight="1">
      <c r="A118" s="145"/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ht="15.75" customHeight="1">
      <c r="A119" s="145"/>
      <c r="B119" s="145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ht="15.75" customHeight="1">
      <c r="A120" s="145"/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ht="15.75" customHeight="1">
      <c r="A121" s="145"/>
      <c r="B121" s="145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ht="15.75" customHeight="1">
      <c r="A122" s="145"/>
      <c r="B122" s="145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ht="15.75" customHeight="1">
      <c r="A123" s="145"/>
      <c r="B123" s="145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ht="15.75" customHeight="1">
      <c r="A124" s="145"/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ht="15.75" customHeight="1">
      <c r="A125" s="145"/>
      <c r="B125" s="145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ht="15.75" customHeight="1">
      <c r="A126" s="145"/>
      <c r="B126" s="145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ht="15.75" customHeight="1">
      <c r="A127" s="145"/>
      <c r="B127" s="145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ht="15.75" customHeight="1">
      <c r="A128" s="145"/>
      <c r="B128" s="145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ht="15.75" customHeight="1">
      <c r="A129" s="145"/>
      <c r="B129" s="14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ht="15.75" customHeight="1">
      <c r="A130" s="145"/>
      <c r="B130" s="145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ht="15.75" customHeight="1">
      <c r="A131" s="145"/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ht="15.75" customHeight="1">
      <c r="A132" s="145"/>
      <c r="B132" s="145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ht="15.75" customHeight="1">
      <c r="A133" s="145"/>
      <c r="B133" s="145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ht="15.75" customHeight="1">
      <c r="A134" s="145"/>
      <c r="B134" s="145"/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ht="15.75" customHeight="1">
      <c r="A135" s="145"/>
      <c r="B135" s="145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ht="15.75" customHeight="1">
      <c r="A136" s="145"/>
      <c r="B136" s="145"/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ht="15.75" customHeight="1">
      <c r="A137" s="145"/>
      <c r="B137" s="145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ht="15.75" customHeight="1">
      <c r="A138" s="145"/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ht="15.75" customHeight="1">
      <c r="A139" s="145"/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ht="15.75" customHeight="1">
      <c r="A140" s="145"/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ht="15.75" customHeight="1">
      <c r="A141" s="145"/>
      <c r="B141" s="145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ht="15.75" customHeight="1">
      <c r="A142" s="145"/>
      <c r="B142" s="145"/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ht="15.75" customHeight="1">
      <c r="A143" s="145"/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ht="15.75" customHeight="1">
      <c r="A144" s="145"/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ht="15.75" customHeight="1">
      <c r="A145" s="145"/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ht="15.75" customHeight="1">
      <c r="A146" s="145"/>
      <c r="B146" s="145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ht="15.75" customHeight="1">
      <c r="A147" s="145"/>
      <c r="B147" s="145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ht="15.75" customHeight="1">
      <c r="A148" s="145"/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ht="15.75" customHeight="1">
      <c r="A149" s="145"/>
      <c r="B149" s="145"/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ht="15.75" customHeight="1">
      <c r="A150" s="145"/>
      <c r="B150" s="145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ht="15.75" customHeight="1">
      <c r="A151" s="145"/>
      <c r="B151" s="145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ht="15.75" customHeight="1">
      <c r="A152" s="145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ht="15.75" customHeight="1">
      <c r="A153" s="145"/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ht="15.75" customHeight="1">
      <c r="A154" s="145"/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ht="15.75" customHeight="1">
      <c r="A155" s="145"/>
      <c r="B155" s="145"/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ht="15.75" customHeight="1">
      <c r="A156" s="145"/>
      <c r="B156" s="145"/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ht="15.75" customHeight="1">
      <c r="A157" s="145"/>
      <c r="B157" s="145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ht="15.75" customHeight="1">
      <c r="A158" s="145"/>
      <c r="B158" s="145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ht="15.75" customHeight="1">
      <c r="A159" s="145"/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ht="15.75" customHeight="1">
      <c r="A160" s="145"/>
      <c r="B160" s="145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ht="15.75" customHeight="1">
      <c r="A161" s="145"/>
      <c r="B161" s="145"/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ht="15.75" customHeight="1">
      <c r="A162" s="145"/>
      <c r="B162" s="145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ht="15.75" customHeight="1">
      <c r="A163" s="145"/>
      <c r="B163" s="145"/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ht="15.75" customHeight="1">
      <c r="A164" s="145"/>
      <c r="B164" s="145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ht="15.75" customHeight="1">
      <c r="A165" s="145"/>
      <c r="B165" s="145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ht="15.75" customHeight="1">
      <c r="A166" s="145"/>
      <c r="B166" s="145"/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ht="15.75" customHeight="1">
      <c r="A167" s="145"/>
      <c r="B167" s="145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ht="15.75" customHeight="1">
      <c r="A168" s="145"/>
      <c r="B168" s="145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ht="15.75" customHeight="1">
      <c r="A169" s="145"/>
      <c r="B169" s="145"/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ht="15.75" customHeight="1">
      <c r="A170" s="145"/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ht="15.75" customHeight="1">
      <c r="A171" s="145"/>
      <c r="B171" s="145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ht="15.75" customHeight="1">
      <c r="A172" s="145"/>
      <c r="B172" s="145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ht="15.75" customHeight="1">
      <c r="A173" s="145"/>
      <c r="B173" s="145"/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ht="15.75" customHeight="1">
      <c r="A174" s="145"/>
      <c r="B174" s="145"/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ht="15.75" customHeight="1">
      <c r="A175" s="145"/>
      <c r="B175" s="145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ht="15.75" customHeight="1">
      <c r="A176" s="145"/>
      <c r="B176" s="145"/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ht="15.75" customHeight="1">
      <c r="A177" s="145"/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ht="15.75" customHeight="1">
      <c r="A178" s="145"/>
      <c r="B178" s="145"/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ht="15.75" customHeight="1">
      <c r="A179" s="145"/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ht="15.75" customHeight="1">
      <c r="A180" s="145"/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ht="15.75" customHeight="1">
      <c r="A181" s="145"/>
      <c r="B181" s="145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ht="15.75" customHeight="1">
      <c r="A182" s="145"/>
      <c r="B182" s="145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ht="15.75" customHeight="1">
      <c r="A183" s="145"/>
      <c r="B183" s="145"/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ht="15.75" customHeight="1">
      <c r="A184" s="145"/>
      <c r="B184" s="145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ht="15.75" customHeight="1">
      <c r="A185" s="145"/>
      <c r="B185" s="145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ht="15.75" customHeight="1">
      <c r="A186" s="145"/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ht="15.75" customHeight="1">
      <c r="A187" s="145"/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ht="15.75" customHeight="1">
      <c r="A188" s="145"/>
      <c r="B188" s="145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ht="15.75" customHeight="1">
      <c r="A189" s="145"/>
      <c r="B189" s="145"/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ht="15.75" customHeight="1">
      <c r="A190" s="145"/>
      <c r="B190" s="145"/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ht="15.75" customHeight="1">
      <c r="A191" s="145"/>
      <c r="B191" s="145"/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ht="15.75" customHeight="1">
      <c r="A192" s="145"/>
      <c r="B192" s="145"/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ht="15.75" customHeight="1">
      <c r="A193" s="145"/>
      <c r="B193" s="145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ht="15.75" customHeight="1">
      <c r="A194" s="145"/>
      <c r="B194" s="145"/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ht="15.75" customHeight="1">
      <c r="A195" s="145"/>
      <c r="B195" s="145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ht="15.75" customHeight="1">
      <c r="A196" s="145"/>
      <c r="B196" s="145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ht="15.75" customHeight="1">
      <c r="A197" s="145"/>
      <c r="B197" s="145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ht="15.75" customHeight="1">
      <c r="A198" s="145"/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ht="15.75" customHeight="1">
      <c r="A199" s="145"/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ht="15.75" customHeight="1">
      <c r="A200" s="145"/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ht="15.75" customHeight="1">
      <c r="A201" s="145"/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ht="15.75" customHeight="1">
      <c r="A202" s="145"/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ht="15.75" customHeight="1">
      <c r="A203" s="145"/>
      <c r="B203" s="145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ht="15.75" customHeight="1">
      <c r="A204" s="145"/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ht="15.75" customHeight="1">
      <c r="A205" s="145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ht="15.75" customHeight="1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ht="15.75" customHeight="1">
      <c r="A207" s="145"/>
      <c r="B207" s="145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ht="15.75" customHeight="1">
      <c r="A208" s="145"/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ht="15.75" customHeight="1">
      <c r="A209" s="145"/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ht="15.75" customHeight="1">
      <c r="A210" s="145"/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ht="15.75" customHeight="1">
      <c r="A211" s="145"/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ht="15.75" customHeight="1">
      <c r="A212" s="145"/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ht="15.75" customHeight="1">
      <c r="A213" s="145"/>
      <c r="B213" s="145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ht="15.75" customHeight="1">
      <c r="A214" s="145"/>
      <c r="B214" s="145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ht="15.75" customHeight="1">
      <c r="A215" s="145"/>
      <c r="B215" s="145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ht="15.75" customHeight="1">
      <c r="A216" s="145"/>
      <c r="B216" s="145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ht="15.75" customHeight="1">
      <c r="A217" s="145"/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ht="15.75" customHeight="1">
      <c r="A218" s="145"/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ht="15.75" customHeight="1">
      <c r="A219" s="145"/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ht="15.75" customHeight="1">
      <c r="A220" s="145"/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ht="15.75" customHeight="1">
      <c r="A221" s="145"/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ht="15.75" customHeight="1">
      <c r="A222" s="145"/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ht="15.75" customHeight="1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ht="15.75" customHeight="1">
      <c r="A224" s="145"/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ht="15.75" customHeight="1">
      <c r="A225" s="145"/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ht="15.75" customHeight="1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ht="15.75" customHeight="1">
      <c r="A227" s="145"/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ht="15.75" customHeight="1">
      <c r="A228" s="145"/>
      <c r="B228" s="145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ht="15.75" customHeight="1">
      <c r="A229" s="145"/>
      <c r="B229" s="145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ht="15.75" customHeight="1">
      <c r="A230" s="145"/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ht="15.75" customHeight="1">
      <c r="A231" s="145"/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ht="15.75" customHeight="1">
      <c r="A232" s="145"/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ht="15.75" customHeight="1">
      <c r="A233" s="145"/>
      <c r="B233" s="145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 ht="15.75" customHeight="1">
      <c r="A234" s="145"/>
      <c r="B234" s="145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 ht="15.75" customHeight="1">
      <c r="A235" s="145"/>
      <c r="B235" s="145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</row>
    <row r="236" ht="15.75" customHeight="1">
      <c r="A236" s="145"/>
      <c r="B236" s="145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</row>
    <row r="237" ht="15.75" customHeight="1">
      <c r="A237" s="145"/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</row>
    <row r="238" ht="15.75" customHeight="1">
      <c r="A238" s="145"/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</row>
    <row r="239" ht="15.75" customHeight="1">
      <c r="A239" s="145"/>
      <c r="B239" s="145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</row>
    <row r="240" ht="15.75" customHeight="1">
      <c r="A240" s="145"/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</row>
    <row r="241" ht="15.75" customHeight="1">
      <c r="A241" s="145"/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</row>
    <row r="242" ht="15.75" customHeight="1">
      <c r="A242" s="145"/>
      <c r="B242" s="145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</row>
    <row r="243" ht="15.75" customHeight="1">
      <c r="A243" s="145"/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</row>
    <row r="244" ht="15.75" customHeight="1">
      <c r="A244" s="145"/>
      <c r="B244" s="145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</row>
    <row r="245" ht="15.75" customHeight="1">
      <c r="A245" s="145"/>
      <c r="B245" s="145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</row>
    <row r="246" ht="15.75" customHeight="1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</row>
    <row r="247" ht="15.75" customHeight="1">
      <c r="A247" s="145"/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</row>
    <row r="248" ht="15.75" customHeight="1">
      <c r="A248" s="145"/>
      <c r="B248" s="145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</row>
    <row r="249" ht="15.75" customHeight="1">
      <c r="A249" s="145"/>
      <c r="B249" s="145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</row>
    <row r="250" ht="15.75" customHeight="1">
      <c r="A250" s="145"/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</row>
    <row r="251" ht="15.75" customHeight="1">
      <c r="A251" s="145"/>
      <c r="B251" s="145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</row>
    <row r="252" ht="15.75" customHeight="1">
      <c r="A252" s="145"/>
      <c r="B252" s="145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</row>
    <row r="253" ht="15.75" customHeight="1">
      <c r="A253" s="145"/>
      <c r="B253" s="145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</row>
    <row r="254" ht="15.75" customHeight="1">
      <c r="A254" s="145"/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</row>
    <row r="255" ht="15.75" customHeight="1">
      <c r="A255" s="145"/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</row>
    <row r="256" ht="15.75" customHeight="1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</row>
    <row r="257" ht="15.75" customHeight="1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</row>
    <row r="258" ht="15.75" customHeight="1">
      <c r="A258" s="145"/>
      <c r="B258" s="145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</row>
    <row r="259" ht="15.75" customHeight="1">
      <c r="A259" s="145"/>
      <c r="B259" s="145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</row>
    <row r="260" ht="15.75" customHeight="1">
      <c r="A260" s="145"/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</row>
    <row r="261" ht="15.75" customHeight="1">
      <c r="A261" s="145"/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</row>
    <row r="262" ht="15.75" customHeight="1">
      <c r="A262" s="145"/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</row>
    <row r="263" ht="15.75" customHeight="1">
      <c r="A263" s="145"/>
      <c r="B263" s="145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</row>
    <row r="264" ht="15.75" customHeight="1">
      <c r="A264" s="145"/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</row>
    <row r="265" ht="15.75" customHeight="1">
      <c r="A265" s="145"/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</row>
    <row r="266" ht="15.75" customHeight="1">
      <c r="A266" s="145"/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</row>
    <row r="267" ht="15.75" customHeight="1">
      <c r="A267" s="145"/>
      <c r="B267" s="145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</row>
    <row r="268" ht="15.75" customHeight="1">
      <c r="A268" s="145"/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</row>
    <row r="269" ht="15.75" customHeight="1">
      <c r="A269" s="145"/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</row>
    <row r="270" ht="15.75" customHeight="1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</row>
    <row r="271" ht="15.75" customHeight="1">
      <c r="A271" s="145"/>
      <c r="B271" s="145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</row>
    <row r="272" ht="15.75" customHeight="1">
      <c r="A272" s="145"/>
      <c r="B272" s="145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</row>
    <row r="273" ht="15.75" customHeight="1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</row>
    <row r="274" ht="15.75" customHeight="1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</row>
    <row r="275" ht="15.75" customHeight="1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</row>
    <row r="276" ht="15.75" customHeight="1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</row>
    <row r="277" ht="15.75" customHeight="1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</row>
    <row r="278" ht="15.75" customHeight="1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</row>
    <row r="279" ht="15.75" customHeight="1">
      <c r="A279" s="145"/>
      <c r="B279" s="145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</row>
    <row r="280" ht="15.75" customHeight="1">
      <c r="A280" s="145"/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</row>
    <row r="281" ht="15.75" customHeight="1">
      <c r="A281" s="145"/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</row>
    <row r="282" ht="15.75" customHeight="1">
      <c r="A282" s="145"/>
      <c r="B282" s="145"/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</row>
    <row r="283" ht="15.75" customHeight="1">
      <c r="A283" s="145"/>
      <c r="B283" s="145"/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</row>
    <row r="284" ht="15.75" customHeight="1">
      <c r="A284" s="145"/>
      <c r="B284" s="145"/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</row>
    <row r="285" ht="15.75" customHeight="1">
      <c r="A285" s="145"/>
      <c r="B285" s="145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</row>
    <row r="286" ht="15.75" customHeight="1">
      <c r="A286" s="145"/>
      <c r="B286" s="145"/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</row>
    <row r="287" ht="15.75" customHeight="1">
      <c r="A287" s="145"/>
      <c r="B287" s="145"/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</row>
    <row r="288" ht="15.75" customHeight="1">
      <c r="A288" s="145"/>
      <c r="B288" s="145"/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</row>
    <row r="289" ht="15.75" customHeight="1">
      <c r="A289" s="145"/>
      <c r="B289" s="145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</row>
    <row r="290" ht="15.75" customHeight="1">
      <c r="A290" s="145"/>
      <c r="B290" s="145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</row>
    <row r="291" ht="15.75" customHeight="1">
      <c r="A291" s="145"/>
      <c r="B291" s="145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</row>
    <row r="292" ht="15.75" customHeight="1">
      <c r="A292" s="145"/>
      <c r="B292" s="145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</row>
    <row r="293" ht="15.75" customHeight="1">
      <c r="A293" s="145"/>
      <c r="B293" s="145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</row>
    <row r="294" ht="15.75" customHeight="1">
      <c r="A294" s="145"/>
      <c r="B294" s="145"/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</row>
    <row r="295" ht="15.75" customHeight="1">
      <c r="A295" s="145"/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</row>
    <row r="296" ht="15.75" customHeight="1">
      <c r="A296" s="145"/>
      <c r="B296" s="145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</row>
    <row r="297" ht="15.75" customHeight="1">
      <c r="A297" s="145"/>
      <c r="B297" s="145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</row>
    <row r="298" ht="15.75" customHeight="1">
      <c r="A298" s="145"/>
      <c r="B298" s="145"/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</row>
    <row r="299" ht="15.75" customHeight="1">
      <c r="A299" s="145"/>
      <c r="B299" s="145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</row>
    <row r="300" ht="15.75" customHeight="1">
      <c r="A300" s="145"/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</row>
    <row r="301" ht="15.75" customHeight="1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</row>
    <row r="302" ht="15.75" customHeight="1">
      <c r="A302" s="145"/>
      <c r="B302" s="145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</row>
    <row r="303" ht="15.75" customHeight="1">
      <c r="A303" s="145"/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</row>
    <row r="304" ht="15.75" customHeight="1">
      <c r="A304" s="145"/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</row>
    <row r="305" ht="15.75" customHeight="1">
      <c r="A305" s="145"/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</row>
    <row r="306" ht="15.75" customHeight="1">
      <c r="A306" s="145"/>
      <c r="B306" s="145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</row>
    <row r="307" ht="15.75" customHeight="1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</row>
    <row r="308" ht="15.75" customHeight="1">
      <c r="A308" s="145"/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</row>
    <row r="309" ht="15.75" customHeight="1">
      <c r="A309" s="145"/>
      <c r="B309" s="145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</row>
    <row r="310" ht="15.75" customHeight="1">
      <c r="A310" s="145"/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</row>
    <row r="311" ht="15.75" customHeight="1">
      <c r="A311" s="145"/>
      <c r="B311" s="145"/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</row>
    <row r="312" ht="15.75" customHeight="1">
      <c r="A312" s="145"/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</row>
    <row r="313" ht="15.75" customHeight="1">
      <c r="A313" s="145"/>
      <c r="B313" s="145"/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</row>
    <row r="314" ht="15.75" customHeight="1">
      <c r="A314" s="145"/>
      <c r="B314" s="145"/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</row>
    <row r="315" ht="15.75" customHeight="1">
      <c r="A315" s="145"/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</row>
    <row r="316" ht="15.75" customHeight="1">
      <c r="A316" s="145"/>
      <c r="B316" s="145"/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</row>
    <row r="317" ht="15.75" customHeight="1">
      <c r="A317" s="145"/>
      <c r="B317" s="145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</row>
    <row r="318" ht="15.75" customHeight="1">
      <c r="A318" s="145"/>
      <c r="B318" s="145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</row>
    <row r="319" ht="15.75" customHeight="1">
      <c r="A319" s="145"/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</row>
    <row r="320" ht="15.75" customHeight="1">
      <c r="A320" s="145"/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</row>
    <row r="321" ht="15.75" customHeight="1">
      <c r="A321" s="145"/>
      <c r="B321" s="145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</row>
    <row r="322" ht="15.75" customHeight="1">
      <c r="A322" s="145"/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</row>
    <row r="323" ht="15.75" customHeight="1">
      <c r="A323" s="145"/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</row>
    <row r="324" ht="15.75" customHeight="1">
      <c r="A324" s="145"/>
      <c r="B324" s="145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</row>
    <row r="325" ht="15.75" customHeight="1">
      <c r="A325" s="145"/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</row>
    <row r="326" ht="15.75" customHeight="1">
      <c r="A326" s="145"/>
      <c r="B326" s="145"/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</row>
    <row r="327" ht="15.75" customHeight="1">
      <c r="A327" s="145"/>
      <c r="B327" s="145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</row>
    <row r="328" ht="15.75" customHeight="1">
      <c r="A328" s="145"/>
      <c r="B328" s="145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</row>
    <row r="329" ht="15.75" customHeight="1">
      <c r="A329" s="145"/>
      <c r="B329" s="145"/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</row>
    <row r="330" ht="15.75" customHeight="1">
      <c r="A330" s="145"/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</row>
    <row r="331" ht="15.75" customHeight="1">
      <c r="A331" s="145"/>
      <c r="B331" s="145"/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</row>
    <row r="332" ht="15.75" customHeight="1">
      <c r="A332" s="145"/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</row>
    <row r="333" ht="15.75" customHeight="1">
      <c r="A333" s="145"/>
      <c r="B333" s="145"/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</row>
    <row r="334" ht="15.75" customHeight="1">
      <c r="A334" s="145"/>
      <c r="B334" s="145"/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</row>
    <row r="335" ht="15.75" customHeight="1">
      <c r="A335" s="145"/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</row>
    <row r="336" ht="15.75" customHeight="1">
      <c r="A336" s="145"/>
      <c r="B336" s="145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</row>
    <row r="337" ht="15.75" customHeight="1">
      <c r="A337" s="145"/>
      <c r="B337" s="145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</row>
    <row r="338" ht="15.75" customHeight="1">
      <c r="A338" s="145"/>
      <c r="B338" s="145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</row>
    <row r="339" ht="15.75" customHeight="1">
      <c r="A339" s="145"/>
      <c r="B339" s="145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</row>
    <row r="340" ht="15.75" customHeight="1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</row>
    <row r="341" ht="15.75" customHeight="1">
      <c r="A341" s="145"/>
      <c r="B341" s="145"/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</row>
    <row r="342" ht="15.75" customHeight="1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</row>
    <row r="343" ht="15.75" customHeight="1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</row>
    <row r="344" ht="15.75" customHeight="1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</row>
    <row r="345" ht="15.75" customHeight="1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</row>
    <row r="346" ht="15.75" customHeight="1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</row>
    <row r="347" ht="15.75" customHeight="1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</row>
    <row r="348" ht="15.75" customHeight="1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</row>
    <row r="349" ht="15.75" customHeight="1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</row>
    <row r="350" ht="15.75" customHeight="1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</row>
    <row r="351" ht="15.75" customHeight="1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</row>
    <row r="352" ht="15.75" customHeight="1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</row>
    <row r="353" ht="15.75" customHeight="1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</row>
    <row r="354" ht="15.75" customHeight="1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</row>
    <row r="355" ht="15.75" customHeight="1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</row>
    <row r="356" ht="15.75" customHeight="1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</row>
    <row r="357" ht="15.75" customHeight="1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</row>
    <row r="358" ht="15.75" customHeight="1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</row>
    <row r="359" ht="15.75" customHeight="1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</row>
    <row r="360" ht="15.75" customHeight="1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</row>
    <row r="361" ht="15.75" customHeight="1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</row>
    <row r="362" ht="15.75" customHeight="1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</row>
    <row r="363" ht="15.75" customHeight="1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</row>
    <row r="364" ht="15.75" customHeight="1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</row>
    <row r="365" ht="15.75" customHeight="1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</row>
    <row r="366" ht="15.75" customHeight="1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</row>
    <row r="367" ht="15.75" customHeight="1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</row>
    <row r="368" ht="15.75" customHeight="1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</row>
    <row r="369" ht="15.75" customHeight="1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</row>
    <row r="370" ht="15.75" customHeight="1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</row>
    <row r="371" ht="15.75" customHeight="1">
      <c r="A371" s="145"/>
      <c r="B371" s="145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</row>
    <row r="372" ht="15.75" customHeight="1">
      <c r="A372" s="145"/>
      <c r="B372" s="145"/>
      <c r="C372" s="145"/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</row>
    <row r="373" ht="15.75" customHeight="1">
      <c r="A373" s="145"/>
      <c r="B373" s="145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</row>
    <row r="374" ht="15.75" customHeight="1">
      <c r="A374" s="145"/>
      <c r="B374" s="145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</row>
    <row r="375" ht="15.75" customHeight="1">
      <c r="A375" s="145"/>
      <c r="B375" s="145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</row>
    <row r="376" ht="15.75" customHeight="1">
      <c r="A376" s="145"/>
      <c r="B376" s="145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</row>
    <row r="377" ht="15.75" customHeight="1">
      <c r="A377" s="145"/>
      <c r="B377" s="145"/>
      <c r="C377" s="145"/>
      <c r="D377" s="145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</row>
    <row r="378" ht="15.75" customHeight="1">
      <c r="A378" s="145"/>
      <c r="B378" s="145"/>
      <c r="C378" s="145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</row>
    <row r="379" ht="15.75" customHeight="1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</row>
    <row r="380" ht="15.75" customHeight="1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</row>
    <row r="381" ht="15.75" customHeight="1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</row>
    <row r="382" ht="15.75" customHeight="1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</row>
    <row r="383" ht="15.75" customHeight="1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</row>
    <row r="384" ht="15.75" customHeight="1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</row>
    <row r="385" ht="15.75" customHeight="1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</row>
    <row r="386" ht="15.75" customHeight="1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</row>
    <row r="387" ht="15.75" customHeight="1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</row>
    <row r="388" ht="15.75" customHeight="1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</row>
    <row r="389" ht="15.75" customHeight="1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</row>
    <row r="390" ht="15.75" customHeight="1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</row>
    <row r="391" ht="15.75" customHeight="1">
      <c r="A391" s="145"/>
      <c r="B391" s="145"/>
      <c r="C391" s="145"/>
      <c r="D391" s="145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</row>
    <row r="392" ht="15.75" customHeight="1">
      <c r="A392" s="145"/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</row>
    <row r="393" ht="15.75" customHeight="1">
      <c r="A393" s="145"/>
      <c r="B393" s="145"/>
      <c r="C393" s="145"/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</row>
    <row r="394" ht="15.75" customHeight="1">
      <c r="A394" s="145"/>
      <c r="B394" s="145"/>
      <c r="C394" s="145"/>
      <c r="D394" s="145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</row>
    <row r="395" ht="15.75" customHeight="1">
      <c r="A395" s="145"/>
      <c r="B395" s="145"/>
      <c r="C395" s="145"/>
      <c r="D395" s="145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</row>
    <row r="396" ht="15.75" customHeight="1">
      <c r="A396" s="145"/>
      <c r="B396" s="145"/>
      <c r="C396" s="145"/>
      <c r="D396" s="145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</row>
    <row r="397" ht="15.75" customHeight="1">
      <c r="A397" s="145"/>
      <c r="B397" s="145"/>
      <c r="C397" s="145"/>
      <c r="D397" s="145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</row>
    <row r="398" ht="15.75" customHeight="1">
      <c r="A398" s="145"/>
      <c r="B398" s="145"/>
      <c r="C398" s="145"/>
      <c r="D398" s="145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</row>
    <row r="399" ht="15.75" customHeight="1">
      <c r="A399" s="145"/>
      <c r="B399" s="145"/>
      <c r="C399" s="145"/>
      <c r="D399" s="145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</row>
    <row r="400" ht="15.75" customHeight="1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</row>
    <row r="401" ht="15.75" customHeight="1">
      <c r="A401" s="145"/>
      <c r="B401" s="145"/>
      <c r="C401" s="145"/>
      <c r="D401" s="145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</row>
    <row r="402" ht="15.75" customHeight="1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</row>
    <row r="403" ht="15.75" customHeight="1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</row>
    <row r="404" ht="15.75" customHeight="1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</row>
    <row r="405" ht="15.75" customHeight="1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</row>
    <row r="406" ht="15.75" customHeight="1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</row>
    <row r="407" ht="15.75" customHeight="1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</row>
    <row r="408" ht="15.75" customHeight="1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</row>
    <row r="409" ht="15.75" customHeight="1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</row>
    <row r="410" ht="15.75" customHeight="1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</row>
    <row r="411" ht="15.75" customHeight="1">
      <c r="A411" s="145"/>
      <c r="B411" s="145"/>
      <c r="C411" s="145"/>
      <c r="D411" s="145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</row>
    <row r="412" ht="15.75" customHeight="1">
      <c r="A412" s="145"/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</row>
    <row r="413" ht="15.75" customHeight="1">
      <c r="A413" s="145"/>
      <c r="B413" s="145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</row>
    <row r="414" ht="15.75" customHeight="1">
      <c r="A414" s="145"/>
      <c r="B414" s="145"/>
      <c r="C414" s="145"/>
      <c r="D414" s="145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</row>
    <row r="415" ht="15.75" customHeight="1">
      <c r="A415" s="145"/>
      <c r="B415" s="145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</row>
    <row r="416" ht="15.75" customHeight="1">
      <c r="A416" s="145"/>
      <c r="B416" s="145"/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</row>
    <row r="417" ht="15.75" customHeight="1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</row>
    <row r="418" ht="15.75" customHeight="1">
      <c r="A418" s="145"/>
      <c r="B418" s="145"/>
      <c r="C418" s="145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</row>
    <row r="419" ht="15.75" customHeight="1">
      <c r="A419" s="145"/>
      <c r="B419" s="145"/>
      <c r="C419" s="145"/>
      <c r="D419" s="145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</row>
    <row r="420" ht="15.75" customHeight="1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</row>
    <row r="421" ht="15.75" customHeight="1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</row>
    <row r="422" ht="15.75" customHeight="1">
      <c r="A422" s="145"/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</row>
    <row r="423" ht="15.75" customHeight="1">
      <c r="A423" s="145"/>
      <c r="B423" s="145"/>
      <c r="C423" s="145"/>
      <c r="D423" s="145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</row>
    <row r="424" ht="15.75" customHeight="1">
      <c r="A424" s="145"/>
      <c r="B424" s="145"/>
      <c r="C424" s="145"/>
      <c r="D424" s="145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</row>
    <row r="425" ht="15.75" customHeight="1">
      <c r="A425" s="145"/>
      <c r="B425" s="145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</row>
    <row r="426" ht="15.75" customHeight="1">
      <c r="A426" s="145"/>
      <c r="B426" s="145"/>
      <c r="C426" s="145"/>
      <c r="D426" s="145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</row>
    <row r="427" ht="15.75" customHeight="1">
      <c r="A427" s="145"/>
      <c r="B427" s="145"/>
      <c r="C427" s="145"/>
      <c r="D427" s="145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</row>
    <row r="428" ht="15.75" customHeight="1">
      <c r="A428" s="145"/>
      <c r="B428" s="145"/>
      <c r="C428" s="145"/>
      <c r="D428" s="145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</row>
    <row r="429" ht="15.75" customHeight="1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</row>
    <row r="430" ht="15.75" customHeight="1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</row>
    <row r="431" ht="15.75" customHeight="1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</row>
    <row r="432" ht="15.75" customHeight="1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</row>
    <row r="433" ht="15.75" customHeight="1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</row>
    <row r="434" ht="15.75" customHeight="1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</row>
    <row r="435" ht="15.75" customHeight="1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</row>
    <row r="436" ht="15.75" customHeight="1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</row>
    <row r="437" ht="15.75" customHeight="1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</row>
    <row r="438" ht="15.75" customHeight="1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</row>
    <row r="439" ht="15.75" customHeight="1">
      <c r="A439" s="145"/>
      <c r="B439" s="145"/>
      <c r="C439" s="145"/>
      <c r="D439" s="145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</row>
    <row r="440" ht="15.75" customHeight="1">
      <c r="A440" s="145"/>
      <c r="B440" s="145"/>
      <c r="C440" s="145"/>
      <c r="D440" s="145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</row>
    <row r="441" ht="15.75" customHeight="1">
      <c r="A441" s="145"/>
      <c r="B441" s="145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</row>
    <row r="442" ht="15.75" customHeight="1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</row>
    <row r="443" ht="15.75" customHeight="1">
      <c r="A443" s="145"/>
      <c r="B443" s="145"/>
      <c r="C443" s="145"/>
      <c r="D443" s="145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</row>
    <row r="444" ht="15.75" customHeight="1">
      <c r="A444" s="145"/>
      <c r="B444" s="145"/>
      <c r="C444" s="145"/>
      <c r="D444" s="145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</row>
    <row r="445" ht="15.75" customHeight="1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</row>
    <row r="446" ht="15.75" customHeight="1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</row>
    <row r="447" ht="15.75" customHeight="1">
      <c r="A447" s="145"/>
      <c r="B447" s="145"/>
      <c r="C447" s="145"/>
      <c r="D447" s="145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</row>
    <row r="448" ht="15.75" customHeight="1">
      <c r="A448" s="145"/>
      <c r="B448" s="145"/>
      <c r="C448" s="145"/>
      <c r="D448" s="145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</row>
    <row r="449" ht="15.75" customHeight="1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</row>
    <row r="450" ht="15.75" customHeight="1">
      <c r="A450" s="145"/>
      <c r="B450" s="145"/>
      <c r="C450" s="145"/>
      <c r="D450" s="145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</row>
    <row r="451" ht="15.75" customHeight="1">
      <c r="A451" s="145"/>
      <c r="B451" s="145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</row>
    <row r="452" ht="15.75" customHeight="1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</row>
    <row r="453" ht="15.75" customHeight="1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</row>
    <row r="454" ht="15.75" customHeight="1">
      <c r="A454" s="145"/>
      <c r="B454" s="145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</row>
    <row r="455" ht="15.75" customHeight="1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</row>
    <row r="456" ht="15.75" customHeight="1">
      <c r="A456" s="145"/>
      <c r="B456" s="145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</row>
    <row r="457" ht="15.75" customHeight="1">
      <c r="A457" s="145"/>
      <c r="B457" s="145"/>
      <c r="C457" s="145"/>
      <c r="D457" s="145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</row>
    <row r="458" ht="15.75" customHeight="1">
      <c r="A458" s="145"/>
      <c r="B458" s="145"/>
      <c r="C458" s="145"/>
      <c r="D458" s="145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</row>
    <row r="459" ht="15.75" customHeight="1">
      <c r="A459" s="145"/>
      <c r="B459" s="145"/>
      <c r="C459" s="145"/>
      <c r="D459" s="145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</row>
    <row r="460" ht="15.75" customHeight="1">
      <c r="A460" s="145"/>
      <c r="B460" s="145"/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</row>
    <row r="461" ht="15.75" customHeight="1">
      <c r="A461" s="145"/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</row>
    <row r="462" ht="15.75" customHeight="1">
      <c r="A462" s="145"/>
      <c r="B462" s="145"/>
      <c r="C462" s="145"/>
      <c r="D462" s="145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</row>
    <row r="463" ht="15.75" customHeight="1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</row>
    <row r="464" ht="15.75" customHeight="1">
      <c r="A464" s="145"/>
      <c r="B464" s="145"/>
      <c r="C464" s="145"/>
      <c r="D464" s="145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</row>
    <row r="465" ht="15.75" customHeight="1">
      <c r="A465" s="145"/>
      <c r="B465" s="145"/>
      <c r="C465" s="145"/>
      <c r="D465" s="145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</row>
    <row r="466" ht="15.75" customHeight="1">
      <c r="A466" s="145"/>
      <c r="B466" s="145"/>
      <c r="C466" s="145"/>
      <c r="D466" s="145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</row>
    <row r="467" ht="15.75" customHeight="1">
      <c r="A467" s="145"/>
      <c r="B467" s="145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</row>
    <row r="468" ht="15.75" customHeight="1">
      <c r="A468" s="145"/>
      <c r="B468" s="145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</row>
    <row r="469" ht="15.75" customHeight="1">
      <c r="A469" s="145"/>
      <c r="B469" s="145"/>
      <c r="C469" s="145"/>
      <c r="D469" s="145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</row>
    <row r="470" ht="15.75" customHeight="1">
      <c r="A470" s="145"/>
      <c r="B470" s="145"/>
      <c r="C470" s="145"/>
      <c r="D470" s="145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</row>
    <row r="471" ht="15.75" customHeight="1">
      <c r="A471" s="145"/>
      <c r="B471" s="145"/>
      <c r="C471" s="145"/>
      <c r="D471" s="145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</row>
    <row r="472" ht="15.75" customHeight="1">
      <c r="A472" s="145"/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</row>
    <row r="473" ht="15.75" customHeight="1">
      <c r="A473" s="145"/>
      <c r="B473" s="145"/>
      <c r="C473" s="145"/>
      <c r="D473" s="145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</row>
    <row r="474" ht="15.75" customHeight="1">
      <c r="A474" s="145"/>
      <c r="B474" s="145"/>
      <c r="C474" s="145"/>
      <c r="D474" s="145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</row>
    <row r="475" ht="15.75" customHeight="1">
      <c r="A475" s="145"/>
      <c r="B475" s="145"/>
      <c r="C475" s="145"/>
      <c r="D475" s="145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</row>
    <row r="476" ht="15.75" customHeight="1">
      <c r="A476" s="145"/>
      <c r="B476" s="145"/>
      <c r="C476" s="145"/>
      <c r="D476" s="145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</row>
    <row r="477" ht="15.75" customHeight="1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</row>
    <row r="478" ht="15.75" customHeight="1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</row>
    <row r="479" ht="15.75" customHeight="1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</row>
    <row r="480" ht="15.75" customHeight="1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</row>
    <row r="481" ht="15.75" customHeight="1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</row>
    <row r="482" ht="15.75" customHeight="1">
      <c r="A482" s="145"/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</row>
    <row r="483" ht="15.75" customHeight="1">
      <c r="A483" s="145"/>
      <c r="B483" s="145"/>
      <c r="C483" s="145"/>
      <c r="D483" s="145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</row>
    <row r="484" ht="15.75" customHeight="1">
      <c r="A484" s="145"/>
      <c r="B484" s="145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</row>
    <row r="485" ht="15.75" customHeight="1">
      <c r="A485" s="145"/>
      <c r="B485" s="145"/>
      <c r="C485" s="145"/>
      <c r="D485" s="145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</row>
    <row r="486" ht="15.75" customHeight="1">
      <c r="A486" s="145"/>
      <c r="B486" s="145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</row>
    <row r="487" ht="15.75" customHeight="1">
      <c r="A487" s="145"/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</row>
    <row r="488" ht="15.75" customHeight="1">
      <c r="A488" s="145"/>
      <c r="B488" s="145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</row>
    <row r="489" ht="15.75" customHeight="1">
      <c r="A489" s="145"/>
      <c r="B489" s="145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</row>
    <row r="490" ht="15.75" customHeight="1">
      <c r="A490" s="145"/>
      <c r="B490" s="145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</row>
    <row r="491" ht="15.75" customHeight="1">
      <c r="A491" s="145"/>
      <c r="B491" s="145"/>
      <c r="C491" s="145"/>
      <c r="D491" s="145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</row>
    <row r="492" ht="15.75" customHeight="1">
      <c r="A492" s="145"/>
      <c r="B492" s="145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</row>
    <row r="493" ht="15.75" customHeight="1">
      <c r="A493" s="145"/>
      <c r="B493" s="145"/>
      <c r="C493" s="145"/>
      <c r="D493" s="145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</row>
    <row r="494" ht="15.75" customHeight="1">
      <c r="A494" s="145"/>
      <c r="B494" s="145"/>
      <c r="C494" s="145"/>
      <c r="D494" s="145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</row>
    <row r="495" ht="15.75" customHeight="1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</row>
    <row r="496" ht="15.75" customHeight="1">
      <c r="A496" s="145"/>
      <c r="B496" s="145"/>
      <c r="C496" s="145"/>
      <c r="D496" s="145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</row>
    <row r="497" ht="15.75" customHeight="1">
      <c r="A497" s="145"/>
      <c r="B497" s="145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</row>
    <row r="498" ht="15.75" customHeight="1">
      <c r="A498" s="145"/>
      <c r="B498" s="145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</row>
    <row r="499" ht="15.75" customHeight="1">
      <c r="A499" s="145"/>
      <c r="B499" s="145"/>
      <c r="C499" s="145"/>
      <c r="D499" s="145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</row>
    <row r="500" ht="15.75" customHeight="1">
      <c r="A500" s="145"/>
      <c r="B500" s="145"/>
      <c r="C500" s="145"/>
      <c r="D500" s="145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</row>
    <row r="501" ht="15.75" customHeight="1">
      <c r="A501" s="145"/>
      <c r="B501" s="145"/>
      <c r="C501" s="145"/>
      <c r="D501" s="145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</row>
    <row r="502" ht="15.75" customHeight="1">
      <c r="A502" s="145"/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</row>
    <row r="503" ht="15.75" customHeight="1">
      <c r="A503" s="145"/>
      <c r="B503" s="145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</row>
    <row r="504" ht="15.75" customHeight="1">
      <c r="A504" s="145"/>
      <c r="B504" s="145"/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</row>
    <row r="505" ht="15.75" customHeight="1">
      <c r="A505" s="145"/>
      <c r="B505" s="145"/>
      <c r="C505" s="145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</row>
    <row r="506" ht="15.75" customHeight="1">
      <c r="A506" s="145"/>
      <c r="B506" s="145"/>
      <c r="C506" s="145"/>
      <c r="D506" s="145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</row>
    <row r="507" ht="15.75" customHeight="1">
      <c r="A507" s="145"/>
      <c r="B507" s="145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</row>
    <row r="508" ht="15.75" customHeight="1">
      <c r="A508" s="145"/>
      <c r="B508" s="145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</row>
    <row r="509" ht="15.75" customHeight="1">
      <c r="A509" s="145"/>
      <c r="B509" s="145"/>
      <c r="C509" s="145"/>
      <c r="D509" s="145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</row>
    <row r="510" ht="15.75" customHeight="1">
      <c r="A510" s="145"/>
      <c r="B510" s="145"/>
      <c r="C510" s="145"/>
      <c r="D510" s="145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</row>
    <row r="511" ht="15.75" customHeight="1">
      <c r="A511" s="145"/>
      <c r="B511" s="145"/>
      <c r="C511" s="145"/>
      <c r="D511" s="145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</row>
    <row r="512" ht="15.75" customHeight="1">
      <c r="A512" s="145"/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</row>
    <row r="513" ht="15.75" customHeight="1">
      <c r="A513" s="145"/>
      <c r="B513" s="145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</row>
    <row r="514" ht="15.75" customHeight="1">
      <c r="A514" s="145"/>
      <c r="B514" s="145"/>
      <c r="C514" s="145"/>
      <c r="D514" s="145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</row>
    <row r="515" ht="15.75" customHeight="1">
      <c r="A515" s="145"/>
      <c r="B515" s="145"/>
      <c r="C515" s="145"/>
      <c r="D515" s="145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</row>
    <row r="516" ht="15.75" customHeight="1">
      <c r="A516" s="145"/>
      <c r="B516" s="145"/>
      <c r="C516" s="145"/>
      <c r="D516" s="145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</row>
    <row r="517" ht="15.75" customHeight="1">
      <c r="A517" s="145"/>
      <c r="B517" s="145"/>
      <c r="C517" s="145"/>
      <c r="D517" s="145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</row>
    <row r="518" ht="15.75" customHeight="1">
      <c r="A518" s="145"/>
      <c r="B518" s="145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</row>
    <row r="519" ht="15.75" customHeight="1">
      <c r="A519" s="145"/>
      <c r="B519" s="145"/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</row>
    <row r="520" ht="15.75" customHeight="1">
      <c r="A520" s="145"/>
      <c r="B520" s="145"/>
      <c r="C520" s="145"/>
      <c r="D520" s="145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</row>
    <row r="521" ht="15.75" customHeight="1">
      <c r="A521" s="145"/>
      <c r="B521" s="145"/>
      <c r="C521" s="145"/>
      <c r="D521" s="145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</row>
    <row r="522" ht="15.75" customHeight="1">
      <c r="A522" s="145"/>
      <c r="B522" s="145"/>
      <c r="C522" s="145"/>
      <c r="D522" s="145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</row>
    <row r="523" ht="15.75" customHeight="1">
      <c r="A523" s="145"/>
      <c r="B523" s="145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</row>
    <row r="524" ht="15.75" customHeight="1">
      <c r="A524" s="145"/>
      <c r="B524" s="145"/>
      <c r="C524" s="145"/>
      <c r="D524" s="145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</row>
    <row r="525" ht="15.75" customHeight="1">
      <c r="A525" s="145"/>
      <c r="B525" s="145"/>
      <c r="C525" s="145"/>
      <c r="D525" s="145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</row>
    <row r="526" ht="15.75" customHeight="1">
      <c r="A526" s="145"/>
      <c r="B526" s="145"/>
      <c r="C526" s="145"/>
      <c r="D526" s="145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</row>
    <row r="527" ht="15.75" customHeight="1">
      <c r="A527" s="145"/>
      <c r="B527" s="145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 ht="15.75" customHeight="1">
      <c r="A528" s="145"/>
      <c r="B528" s="145"/>
      <c r="C528" s="145"/>
      <c r="D528" s="145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</row>
    <row r="529" ht="15.75" customHeight="1">
      <c r="A529" s="145"/>
      <c r="B529" s="145"/>
      <c r="C529" s="145"/>
      <c r="D529" s="145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</row>
    <row r="530" ht="15.75" customHeight="1">
      <c r="A530" s="145"/>
      <c r="B530" s="145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</row>
    <row r="531" ht="15.75" customHeight="1">
      <c r="A531" s="145"/>
      <c r="B531" s="145"/>
      <c r="C531" s="145"/>
      <c r="D531" s="145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</row>
    <row r="532" ht="15.75" customHeight="1">
      <c r="A532" s="145"/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</row>
    <row r="533" ht="15.75" customHeight="1">
      <c r="A533" s="145"/>
      <c r="B533" s="145"/>
      <c r="C533" s="145"/>
      <c r="D533" s="145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</row>
    <row r="534" ht="15.75" customHeight="1">
      <c r="A534" s="145"/>
      <c r="B534" s="145"/>
      <c r="C534" s="145"/>
      <c r="D534" s="145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</row>
    <row r="535" ht="15.75" customHeight="1">
      <c r="A535" s="145"/>
      <c r="B535" s="145"/>
      <c r="C535" s="145"/>
      <c r="D535" s="145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</row>
    <row r="536" ht="15.75" customHeight="1">
      <c r="A536" s="145"/>
      <c r="B536" s="145"/>
      <c r="C536" s="145"/>
      <c r="D536" s="145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</row>
    <row r="537" ht="15.75" customHeight="1">
      <c r="A537" s="145"/>
      <c r="B537" s="145"/>
      <c r="C537" s="145"/>
      <c r="D537" s="145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</row>
    <row r="538" ht="15.75" customHeight="1">
      <c r="A538" s="145"/>
      <c r="B538" s="145"/>
      <c r="C538" s="145"/>
      <c r="D538" s="145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</row>
    <row r="539" ht="15.75" customHeight="1">
      <c r="A539" s="145"/>
      <c r="B539" s="145"/>
      <c r="C539" s="145"/>
      <c r="D539" s="145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</row>
    <row r="540" ht="15.75" customHeight="1">
      <c r="A540" s="145"/>
      <c r="B540" s="145"/>
      <c r="C540" s="145"/>
      <c r="D540" s="145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</row>
    <row r="541" ht="15.75" customHeight="1">
      <c r="A541" s="145"/>
      <c r="B541" s="145"/>
      <c r="C541" s="145"/>
      <c r="D541" s="145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</row>
    <row r="542" ht="15.75" customHeight="1">
      <c r="A542" s="145"/>
      <c r="B542" s="145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</row>
    <row r="543" ht="15.75" customHeight="1">
      <c r="A543" s="145"/>
      <c r="B543" s="145"/>
      <c r="C543" s="145"/>
      <c r="D543" s="145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</row>
    <row r="544" ht="15.75" customHeight="1">
      <c r="A544" s="145"/>
      <c r="B544" s="145"/>
      <c r="C544" s="145"/>
      <c r="D544" s="145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</row>
    <row r="545" ht="15.75" customHeight="1">
      <c r="A545" s="145"/>
      <c r="B545" s="145"/>
      <c r="C545" s="145"/>
      <c r="D545" s="145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</row>
    <row r="546" ht="15.75" customHeight="1">
      <c r="A546" s="145"/>
      <c r="B546" s="145"/>
      <c r="C546" s="145"/>
      <c r="D546" s="145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</row>
    <row r="547" ht="15.75" customHeight="1">
      <c r="A547" s="145"/>
      <c r="B547" s="145"/>
      <c r="C547" s="145"/>
      <c r="D547" s="145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</row>
    <row r="548" ht="15.75" customHeight="1">
      <c r="A548" s="145"/>
      <c r="B548" s="145"/>
      <c r="C548" s="145"/>
      <c r="D548" s="145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</row>
    <row r="549" ht="15.75" customHeight="1">
      <c r="A549" s="145"/>
      <c r="B549" s="145"/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</row>
    <row r="550" ht="15.75" customHeight="1">
      <c r="A550" s="145"/>
      <c r="B550" s="145"/>
      <c r="C550" s="145"/>
      <c r="D550" s="145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</row>
    <row r="551" ht="15.75" customHeight="1">
      <c r="A551" s="145"/>
      <c r="B551" s="145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 ht="15.75" customHeight="1">
      <c r="A552" s="145"/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</row>
    <row r="553" ht="15.75" customHeight="1">
      <c r="A553" s="145"/>
      <c r="B553" s="145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</row>
    <row r="554" ht="15.75" customHeight="1">
      <c r="A554" s="145"/>
      <c r="B554" s="145"/>
      <c r="C554" s="145"/>
      <c r="D554" s="145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</row>
    <row r="555" ht="15.75" customHeight="1">
      <c r="A555" s="145"/>
      <c r="B555" s="145"/>
      <c r="C555" s="145"/>
      <c r="D555" s="145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</row>
    <row r="556" ht="15.75" customHeight="1">
      <c r="A556" s="145"/>
      <c r="B556" s="145"/>
      <c r="C556" s="145"/>
      <c r="D556" s="145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</row>
    <row r="557" ht="15.75" customHeight="1">
      <c r="A557" s="145"/>
      <c r="B557" s="145"/>
      <c r="C557" s="145"/>
      <c r="D557" s="145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</row>
    <row r="558" ht="15.75" customHeight="1">
      <c r="A558" s="145"/>
      <c r="B558" s="145"/>
      <c r="C558" s="145"/>
      <c r="D558" s="145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</row>
    <row r="559" ht="15.75" customHeight="1">
      <c r="A559" s="145"/>
      <c r="B559" s="145"/>
      <c r="C559" s="145"/>
      <c r="D559" s="145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</row>
    <row r="560" ht="15.75" customHeight="1">
      <c r="A560" s="145"/>
      <c r="B560" s="145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</row>
    <row r="561" ht="15.75" customHeight="1">
      <c r="A561" s="145"/>
      <c r="B561" s="145"/>
      <c r="C561" s="145"/>
      <c r="D561" s="145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</row>
    <row r="562" ht="15.75" customHeight="1">
      <c r="A562" s="145"/>
      <c r="B562" s="145"/>
      <c r="C562" s="145"/>
      <c r="D562" s="145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</row>
    <row r="563" ht="15.75" customHeight="1">
      <c r="A563" s="145"/>
      <c r="B563" s="145"/>
      <c r="C563" s="145"/>
      <c r="D563" s="145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</row>
    <row r="564" ht="15.75" customHeight="1">
      <c r="A564" s="145"/>
      <c r="B564" s="145"/>
      <c r="C564" s="145"/>
      <c r="D564" s="145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</row>
    <row r="565" ht="15.75" customHeight="1">
      <c r="A565" s="145"/>
      <c r="B565" s="145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</row>
    <row r="566" ht="15.75" customHeight="1">
      <c r="A566" s="145"/>
      <c r="B566" s="145"/>
      <c r="C566" s="145"/>
      <c r="D566" s="145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</row>
    <row r="567" ht="15.75" customHeight="1">
      <c r="A567" s="145"/>
      <c r="B567" s="145"/>
      <c r="C567" s="145"/>
      <c r="D567" s="145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</row>
    <row r="568" ht="15.75" customHeight="1">
      <c r="A568" s="145"/>
      <c r="B568" s="145"/>
      <c r="C568" s="145"/>
      <c r="D568" s="145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</row>
    <row r="569" ht="15.75" customHeight="1">
      <c r="A569" s="145"/>
      <c r="B569" s="145"/>
      <c r="C569" s="145"/>
      <c r="D569" s="145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</row>
    <row r="570" ht="15.75" customHeight="1">
      <c r="A570" s="145"/>
      <c r="B570" s="145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</row>
    <row r="571" ht="15.75" customHeight="1">
      <c r="A571" s="145"/>
      <c r="B571" s="145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 ht="15.75" customHeight="1">
      <c r="A572" s="145"/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</row>
    <row r="573" ht="15.75" customHeight="1">
      <c r="A573" s="145"/>
      <c r="B573" s="145"/>
      <c r="C573" s="145"/>
      <c r="D573" s="145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</row>
    <row r="574" ht="15.75" customHeight="1">
      <c r="A574" s="145"/>
      <c r="B574" s="145"/>
      <c r="C574" s="145"/>
      <c r="D574" s="145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</row>
    <row r="575" ht="15.75" customHeight="1">
      <c r="A575" s="145"/>
      <c r="B575" s="145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</row>
    <row r="576" ht="15.75" customHeight="1">
      <c r="A576" s="145"/>
      <c r="B576" s="145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</row>
    <row r="577" ht="15.75" customHeight="1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</row>
    <row r="578" ht="15.75" customHeight="1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</row>
    <row r="579" ht="15.75" customHeight="1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</row>
    <row r="580" ht="15.75" customHeight="1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</row>
    <row r="581" ht="15.75" customHeight="1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</row>
    <row r="582" ht="15.75" customHeight="1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</row>
    <row r="583" ht="15.75" customHeight="1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</row>
    <row r="584" ht="15.75" customHeight="1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</row>
    <row r="585" ht="15.75" customHeight="1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</row>
    <row r="586" ht="15.75" customHeight="1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</row>
    <row r="587" ht="15.75" customHeight="1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</row>
    <row r="588" ht="15.75" customHeight="1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</row>
    <row r="589" ht="15.75" customHeight="1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</row>
    <row r="590" ht="15.75" customHeight="1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</row>
    <row r="591" ht="15.75" customHeight="1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</row>
    <row r="592" ht="15.75" customHeight="1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</row>
    <row r="593" ht="15.75" customHeight="1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</row>
    <row r="594" ht="15.75" customHeight="1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</row>
    <row r="595" ht="15.75" customHeight="1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</row>
    <row r="596" ht="15.75" customHeight="1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</row>
    <row r="597" ht="15.75" customHeight="1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</row>
    <row r="598" ht="15.75" customHeight="1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</row>
    <row r="599" ht="15.75" customHeight="1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</row>
    <row r="600" ht="15.75" customHeight="1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</row>
    <row r="601" ht="15.75" customHeight="1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</row>
    <row r="602" ht="15.75" customHeight="1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</row>
    <row r="603" ht="15.75" customHeight="1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</row>
    <row r="604" ht="15.75" customHeight="1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</row>
    <row r="605" ht="15.75" customHeight="1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</row>
    <row r="606" ht="15.75" customHeight="1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</row>
    <row r="607" ht="15.75" customHeight="1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</row>
    <row r="608" ht="15.75" customHeight="1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</row>
    <row r="609" ht="15.75" customHeight="1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</row>
    <row r="610" ht="15.75" customHeight="1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</row>
    <row r="611" ht="15.75" customHeight="1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</row>
    <row r="612" ht="15.75" customHeight="1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</row>
    <row r="613" ht="15.75" customHeight="1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 ht="15.75" customHeight="1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 ht="15.75" customHeight="1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 ht="15.75" customHeight="1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 ht="15.75" customHeight="1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 ht="15.75" customHeight="1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 ht="15.75" customHeight="1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 ht="15.75" customHeight="1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 ht="15.75" customHeight="1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 ht="15.75" customHeight="1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 ht="15.75" customHeight="1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 ht="15.75" customHeight="1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 ht="15.75" customHeight="1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 ht="15.75" customHeight="1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 ht="15.75" customHeight="1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 ht="15.75" customHeight="1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 ht="15.75" customHeight="1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 ht="15.75" customHeight="1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 ht="15.75" customHeight="1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 ht="15.75" customHeight="1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 ht="15.75" customHeight="1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 ht="15.75" customHeight="1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 ht="15.75" customHeight="1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 ht="15.75" customHeight="1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 ht="15.75" customHeight="1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 ht="15.75" customHeight="1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 ht="15.75" customHeight="1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 ht="15.75" customHeight="1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 ht="15.75" customHeight="1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 ht="15.75" customHeight="1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 ht="15.75" customHeight="1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 ht="15.75" customHeight="1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 ht="15.75" customHeight="1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 ht="15.75" customHeight="1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 ht="15.75" customHeight="1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 ht="15.75" customHeight="1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 ht="15.75" customHeight="1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 ht="15.75" customHeight="1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 ht="15.75" customHeight="1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 ht="15.75" customHeight="1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 ht="15.75" customHeight="1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 ht="15.75" customHeight="1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 ht="15.75" customHeight="1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 ht="15.75" customHeight="1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 ht="15.75" customHeight="1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 ht="15.75" customHeight="1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 ht="15.75" customHeight="1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 ht="15.75" customHeight="1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 ht="15.75" customHeight="1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 ht="15.75" customHeight="1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 ht="15.75" customHeight="1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 ht="15.75" customHeight="1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 ht="15.75" customHeight="1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 ht="15.75" customHeight="1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 ht="15.75" customHeight="1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 ht="15.75" customHeight="1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 ht="15.75" customHeight="1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 ht="15.75" customHeight="1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 ht="15.75" customHeight="1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 ht="15.75" customHeight="1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 ht="15.75" customHeight="1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 ht="15.75" customHeight="1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 ht="15.75" customHeight="1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 ht="15.75" customHeight="1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 ht="15.75" customHeight="1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 ht="15.75" customHeight="1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 ht="15.75" customHeight="1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 ht="15.75" customHeight="1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 ht="15.75" customHeight="1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 ht="15.75" customHeight="1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 ht="15.75" customHeight="1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 ht="15.75" customHeight="1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 ht="15.75" customHeight="1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 ht="15.75" customHeight="1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 ht="15.75" customHeight="1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 ht="15.75" customHeight="1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 ht="15.75" customHeight="1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 ht="15.75" customHeight="1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 ht="15.75" customHeight="1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 ht="15.75" customHeight="1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 ht="15.75" customHeight="1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 ht="15.75" customHeight="1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 ht="15.75" customHeight="1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 ht="15.75" customHeight="1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 ht="15.75" customHeight="1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 ht="15.75" customHeight="1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 ht="15.75" customHeight="1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 ht="15.75" customHeight="1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 ht="15.75" customHeight="1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 ht="15.75" customHeight="1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 ht="15.75" customHeight="1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 ht="15.75" customHeight="1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 ht="15.75" customHeight="1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 ht="15.75" customHeight="1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 ht="15.75" customHeight="1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 ht="15.75" customHeight="1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 ht="15.75" customHeight="1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 ht="15.75" customHeight="1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 ht="15.75" customHeight="1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 ht="15.75" customHeight="1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 ht="15.75" customHeight="1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 ht="15.75" customHeight="1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 ht="15.75" customHeight="1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 ht="15.75" customHeight="1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 ht="15.75" customHeight="1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 ht="15.75" customHeight="1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 ht="15.75" customHeight="1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 ht="15.75" customHeight="1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 ht="15.75" customHeight="1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 ht="15.75" customHeight="1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 ht="15.75" customHeight="1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 ht="15.75" customHeight="1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 ht="15.75" customHeight="1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 ht="15.75" customHeight="1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 ht="15.75" customHeight="1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 ht="15.75" customHeight="1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 ht="15.75" customHeight="1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 ht="15.75" customHeight="1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 ht="15.75" customHeight="1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 ht="15.75" customHeight="1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 ht="15.75" customHeight="1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 ht="15.75" customHeight="1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 ht="15.75" customHeight="1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 ht="15.75" customHeight="1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 ht="15.75" customHeight="1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 ht="15.75" customHeight="1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 ht="15.75" customHeight="1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 ht="15.75" customHeight="1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 ht="15.75" customHeight="1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 ht="15.75" customHeight="1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 ht="15.75" customHeight="1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 ht="15.75" customHeight="1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 ht="15.75" customHeight="1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 ht="15.75" customHeight="1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</row>
    <row r="747" ht="15.75" customHeight="1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</row>
    <row r="748" ht="15.75" customHeight="1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</row>
    <row r="749" ht="15.75" customHeight="1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 ht="15.75" customHeight="1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 ht="15.75" customHeight="1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 ht="15.75" customHeight="1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 ht="15.75" customHeight="1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 ht="15.75" customHeight="1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 ht="15.75" customHeight="1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 ht="15.75" customHeight="1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 ht="15.75" customHeight="1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 ht="15.75" customHeight="1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 ht="15.75" customHeight="1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 ht="15.75" customHeight="1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 ht="15.75" customHeight="1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 ht="15.75" customHeight="1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 ht="15.75" customHeight="1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 ht="15.75" customHeight="1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 ht="15.75" customHeight="1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 ht="15.75" customHeight="1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 ht="15.75" customHeight="1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 ht="15.75" customHeight="1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 ht="15.75" customHeight="1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 ht="15.75" customHeight="1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 ht="15.75" customHeight="1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 ht="15.75" customHeight="1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 ht="15.75" customHeight="1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 ht="15.75" customHeight="1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  <row r="775" ht="15.75" customHeight="1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</row>
    <row r="776" ht="15.75" customHeight="1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</row>
    <row r="777" ht="15.75" customHeight="1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</row>
    <row r="778" ht="15.75" customHeight="1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</row>
    <row r="779" ht="15.75" customHeight="1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</row>
    <row r="780" ht="15.75" customHeight="1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</row>
    <row r="781" ht="15.75" customHeight="1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</row>
    <row r="782" ht="15.75" customHeight="1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</row>
    <row r="783" ht="15.75" customHeight="1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</row>
    <row r="784" ht="15.75" customHeight="1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</row>
    <row r="785" ht="15.75" customHeight="1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</row>
    <row r="786" ht="15.75" customHeight="1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</row>
    <row r="787" ht="15.75" customHeight="1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</row>
    <row r="788" ht="15.75" customHeight="1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</row>
    <row r="789" ht="15.75" customHeight="1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</row>
    <row r="790" ht="15.75" customHeight="1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</row>
    <row r="791" ht="15.75" customHeight="1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</row>
    <row r="792" ht="15.75" customHeight="1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</row>
    <row r="793" ht="15.75" customHeight="1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</row>
    <row r="794" ht="15.75" customHeight="1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</row>
    <row r="795" ht="15.75" customHeight="1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</row>
    <row r="796" ht="15.75" customHeight="1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</row>
    <row r="797" ht="15.75" customHeight="1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</row>
    <row r="798" ht="15.75" customHeight="1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</row>
    <row r="799" ht="15.75" customHeight="1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</row>
    <row r="800" ht="15.75" customHeight="1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</row>
    <row r="801" ht="15.75" customHeight="1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</row>
    <row r="802" ht="15.75" customHeight="1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</row>
    <row r="803" ht="15.75" customHeight="1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</row>
    <row r="804" ht="15.75" customHeight="1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</row>
    <row r="805" ht="15.75" customHeight="1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</row>
    <row r="806" ht="15.75" customHeight="1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</row>
    <row r="807" ht="15.75" customHeight="1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</row>
    <row r="808" ht="15.75" customHeight="1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</row>
    <row r="809" ht="15.75" customHeight="1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</row>
    <row r="810" ht="15.75" customHeight="1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</row>
    <row r="811" ht="15.75" customHeight="1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</row>
    <row r="812" ht="15.75" customHeight="1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</row>
    <row r="813" ht="15.75" customHeight="1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</row>
    <row r="814" ht="15.75" customHeight="1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</row>
    <row r="815" ht="15.75" customHeight="1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</row>
    <row r="816" ht="15.75" customHeight="1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</row>
    <row r="817" ht="15.75" customHeight="1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</row>
    <row r="818" ht="15.75" customHeight="1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</row>
    <row r="819" ht="15.75" customHeight="1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</row>
    <row r="820" ht="15.75" customHeight="1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</row>
    <row r="821" ht="15.75" customHeight="1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</row>
    <row r="822" ht="15.75" customHeight="1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</row>
    <row r="823" ht="15.75" customHeight="1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</row>
    <row r="824" ht="15.75" customHeight="1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</row>
    <row r="825" ht="15.75" customHeight="1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</row>
    <row r="826" ht="15.75" customHeight="1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</row>
    <row r="827" ht="15.75" customHeight="1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</row>
    <row r="828" ht="15.75" customHeight="1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</row>
    <row r="829" ht="15.75" customHeight="1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</row>
    <row r="830" ht="15.75" customHeight="1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</row>
    <row r="831" ht="15.75" customHeight="1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</row>
    <row r="832" ht="15.75" customHeight="1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</row>
    <row r="833" ht="15.75" customHeight="1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</row>
    <row r="834" ht="15.75" customHeight="1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</row>
    <row r="835" ht="15.75" customHeight="1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</row>
    <row r="836" ht="15.75" customHeight="1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</row>
    <row r="837" ht="15.75" customHeight="1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</row>
    <row r="838" ht="15.75" customHeight="1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</row>
    <row r="839" ht="15.75" customHeight="1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</row>
    <row r="840" ht="15.75" customHeight="1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</row>
    <row r="841" ht="15.75" customHeight="1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</row>
    <row r="842" ht="15.75" customHeight="1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</row>
    <row r="843" ht="15.75" customHeight="1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</row>
    <row r="844" ht="15.75" customHeight="1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</row>
    <row r="845" ht="15.75" customHeight="1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</row>
    <row r="846" ht="15.75" customHeight="1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</row>
    <row r="847" ht="15.75" customHeight="1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</row>
    <row r="848" ht="15.75" customHeight="1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</row>
    <row r="849" ht="15.75" customHeight="1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</row>
    <row r="850" ht="15.75" customHeight="1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</row>
    <row r="851" ht="15.75" customHeight="1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</row>
    <row r="852" ht="15.75" customHeight="1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</row>
    <row r="853" ht="15.75" customHeight="1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</row>
    <row r="854" ht="15.75" customHeight="1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</row>
    <row r="855" ht="15.75" customHeight="1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</row>
    <row r="856" ht="15.75" customHeight="1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</row>
    <row r="857" ht="15.75" customHeight="1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</row>
    <row r="858" ht="15.75" customHeight="1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</row>
    <row r="859" ht="15.75" customHeight="1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</row>
    <row r="860" ht="15.75" customHeight="1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</row>
    <row r="861" ht="15.75" customHeight="1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</row>
    <row r="862" ht="15.75" customHeight="1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</row>
    <row r="863" ht="15.75" customHeight="1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</row>
    <row r="864" ht="15.75" customHeight="1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</row>
    <row r="865" ht="15.75" customHeight="1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</row>
    <row r="866" ht="15.75" customHeight="1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</row>
    <row r="867" ht="15.75" customHeight="1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</row>
    <row r="868" ht="15.75" customHeight="1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</row>
    <row r="869" ht="15.75" customHeight="1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</row>
    <row r="870" ht="15.75" customHeight="1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</row>
    <row r="871" ht="15.75" customHeight="1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</row>
    <row r="872" ht="15.75" customHeight="1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</row>
    <row r="873" ht="15.75" customHeight="1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</row>
    <row r="874" ht="15.75" customHeight="1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</row>
    <row r="875" ht="15.75" customHeight="1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</row>
    <row r="876" ht="15.75" customHeight="1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</row>
    <row r="877" ht="15.75" customHeight="1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</row>
    <row r="878" ht="15.75" customHeight="1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</row>
    <row r="879" ht="15.75" customHeight="1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</row>
    <row r="880" ht="15.75" customHeight="1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</row>
    <row r="881" ht="15.75" customHeight="1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</row>
    <row r="882" ht="15.75" customHeight="1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</row>
    <row r="883" ht="15.75" customHeight="1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</row>
    <row r="884" ht="15.75" customHeight="1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</row>
    <row r="885" ht="15.75" customHeight="1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</row>
    <row r="886" ht="15.75" customHeight="1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</row>
    <row r="887" ht="15.75" customHeight="1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</row>
    <row r="888" ht="15.75" customHeight="1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</row>
    <row r="889" ht="15.75" customHeight="1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</row>
    <row r="890" ht="15.75" customHeight="1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</row>
    <row r="891" ht="15.75" customHeight="1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</row>
    <row r="892" ht="15.75" customHeight="1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</row>
    <row r="893" ht="15.75" customHeight="1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</row>
    <row r="894" ht="15.75" customHeight="1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</row>
    <row r="895" ht="15.75" customHeight="1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</row>
    <row r="896" ht="15.75" customHeight="1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</row>
    <row r="897" ht="15.75" customHeight="1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</row>
    <row r="898" ht="15.75" customHeight="1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</row>
    <row r="899" ht="15.75" customHeight="1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</row>
    <row r="900" ht="15.75" customHeight="1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</row>
    <row r="901" ht="15.75" customHeight="1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</row>
    <row r="902" ht="15.75" customHeight="1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</row>
    <row r="903" ht="15.75" customHeight="1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</row>
    <row r="904" ht="15.75" customHeight="1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</row>
    <row r="905" ht="15.75" customHeight="1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</row>
    <row r="906" ht="15.75" customHeight="1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</row>
    <row r="907" ht="15.75" customHeight="1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</row>
    <row r="908" ht="15.75" customHeight="1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</row>
    <row r="909" ht="15.75" customHeight="1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</row>
    <row r="910" ht="15.75" customHeight="1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</row>
    <row r="911" ht="15.75" customHeight="1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</row>
    <row r="912" ht="15.75" customHeight="1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</row>
    <row r="913" ht="15.75" customHeight="1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</row>
    <row r="914" ht="15.75" customHeight="1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</row>
    <row r="915" ht="15.75" customHeight="1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</row>
    <row r="916" ht="15.75" customHeight="1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</row>
    <row r="917" ht="15.75" customHeight="1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</row>
    <row r="918" ht="15.75" customHeight="1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</row>
    <row r="919" ht="15.75" customHeight="1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</row>
    <row r="920" ht="15.75" customHeight="1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</row>
    <row r="921" ht="15.75" customHeight="1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</row>
    <row r="922" ht="15.75" customHeight="1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</row>
    <row r="923" ht="15.75" customHeight="1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</row>
    <row r="924" ht="15.75" customHeight="1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</row>
    <row r="925" ht="15.75" customHeight="1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</row>
    <row r="926" ht="15.75" customHeight="1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</row>
    <row r="927" ht="15.75" customHeight="1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</row>
    <row r="928" ht="15.75" customHeight="1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</row>
    <row r="929" ht="15.75" customHeight="1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</row>
    <row r="930" ht="15.75" customHeight="1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</row>
    <row r="931" ht="15.75" customHeight="1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</row>
    <row r="932" ht="15.75" customHeight="1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</row>
    <row r="933" ht="15.75" customHeight="1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</row>
    <row r="934" ht="15.75" customHeight="1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</row>
    <row r="935" ht="15.75" customHeight="1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</row>
    <row r="936" ht="15.75" customHeight="1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</row>
    <row r="937" ht="15.75" customHeight="1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</row>
    <row r="938" ht="15.75" customHeight="1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</row>
    <row r="939" ht="15.75" customHeight="1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</row>
    <row r="940" ht="15.75" customHeight="1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</row>
    <row r="941" ht="15.75" customHeight="1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</row>
    <row r="942" ht="15.75" customHeight="1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</row>
    <row r="943" ht="15.75" customHeight="1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</row>
    <row r="944" ht="15.75" customHeight="1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</row>
    <row r="945" ht="15.75" customHeight="1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</row>
    <row r="946" ht="15.75" customHeight="1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</row>
    <row r="947" ht="15.75" customHeight="1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</row>
    <row r="948" ht="15.75" customHeight="1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</row>
    <row r="949" ht="15.75" customHeight="1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</row>
    <row r="950" ht="15.75" customHeight="1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</row>
    <row r="951" ht="15.75" customHeight="1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</row>
    <row r="952" ht="15.75" customHeight="1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</row>
    <row r="953" ht="15.75" customHeight="1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</row>
    <row r="954" ht="15.75" customHeight="1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</row>
    <row r="955" ht="15.75" customHeight="1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</row>
    <row r="956" ht="15.75" customHeight="1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</row>
    <row r="957" ht="15.75" customHeight="1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</row>
    <row r="958" ht="15.75" customHeight="1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</row>
    <row r="959" ht="15.75" customHeight="1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</row>
    <row r="960" ht="15.75" customHeight="1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</row>
    <row r="961" ht="15.75" customHeight="1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</row>
    <row r="962" ht="15.75" customHeight="1">
      <c r="A962" s="145"/>
      <c r="B962" s="145"/>
      <c r="C962" s="145"/>
      <c r="D962" s="145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</row>
    <row r="963" ht="15.75" customHeight="1">
      <c r="A963" s="145"/>
      <c r="B963" s="145"/>
      <c r="C963" s="145"/>
      <c r="D963" s="145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</row>
    <row r="964" ht="15.75" customHeight="1">
      <c r="A964" s="145"/>
      <c r="B964" s="145"/>
      <c r="C964" s="145"/>
      <c r="D964" s="145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</row>
    <row r="965" ht="15.75" customHeight="1">
      <c r="A965" s="145"/>
      <c r="B965" s="145"/>
      <c r="C965" s="145"/>
      <c r="D965" s="145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</row>
    <row r="966" ht="15.75" customHeight="1">
      <c r="A966" s="145"/>
      <c r="B966" s="145"/>
      <c r="C966" s="145"/>
      <c r="D966" s="145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</row>
    <row r="967" ht="15.75" customHeight="1">
      <c r="A967" s="145"/>
      <c r="B967" s="145"/>
      <c r="C967" s="145"/>
      <c r="D967" s="145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</row>
    <row r="968" ht="15.75" customHeight="1">
      <c r="A968" s="145"/>
      <c r="B968" s="145"/>
      <c r="C968" s="145"/>
      <c r="D968" s="145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</row>
    <row r="969" ht="15.75" customHeight="1">
      <c r="A969" s="145"/>
      <c r="B969" s="145"/>
      <c r="C969" s="145"/>
      <c r="D969" s="145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</row>
    <row r="970" ht="15.75" customHeight="1">
      <c r="A970" s="145"/>
      <c r="B970" s="145"/>
      <c r="C970" s="145"/>
      <c r="D970" s="145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</row>
    <row r="971" ht="15.75" customHeight="1">
      <c r="A971" s="145"/>
      <c r="B971" s="145"/>
      <c r="C971" s="145"/>
      <c r="D971" s="145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</row>
    <row r="972" ht="15.75" customHeight="1">
      <c r="A972" s="145"/>
      <c r="B972" s="145"/>
      <c r="C972" s="145"/>
      <c r="D972" s="145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</row>
    <row r="973" ht="15.75" customHeight="1">
      <c r="A973" s="145"/>
      <c r="B973" s="145"/>
      <c r="C973" s="145"/>
      <c r="D973" s="145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</row>
    <row r="974" ht="15.75" customHeight="1">
      <c r="A974" s="145"/>
      <c r="B974" s="145"/>
      <c r="C974" s="145"/>
      <c r="D974" s="145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</row>
    <row r="975" ht="15.75" customHeight="1">
      <c r="A975" s="145"/>
      <c r="B975" s="145"/>
      <c r="C975" s="145"/>
      <c r="D975" s="145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</row>
    <row r="976" ht="15.75" customHeight="1">
      <c r="A976" s="145"/>
      <c r="B976" s="145"/>
      <c r="C976" s="145"/>
      <c r="D976" s="145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</row>
    <row r="977" ht="15.75" customHeight="1">
      <c r="A977" s="145"/>
      <c r="B977" s="145"/>
      <c r="C977" s="145"/>
      <c r="D977" s="145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</row>
    <row r="978" ht="15.75" customHeight="1">
      <c r="A978" s="145"/>
      <c r="B978" s="145"/>
      <c r="C978" s="145"/>
      <c r="D978" s="145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</row>
    <row r="979" ht="15.75" customHeight="1">
      <c r="A979" s="145"/>
      <c r="B979" s="145"/>
      <c r="C979" s="145"/>
      <c r="D979" s="145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</row>
    <row r="980" ht="15.75" customHeight="1">
      <c r="A980" s="145"/>
      <c r="B980" s="145"/>
      <c r="C980" s="145"/>
      <c r="D980" s="145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</row>
    <row r="981" ht="15.75" customHeight="1">
      <c r="A981" s="145"/>
      <c r="B981" s="145"/>
      <c r="C981" s="145"/>
      <c r="D981" s="145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</row>
    <row r="982" ht="15.75" customHeight="1">
      <c r="A982" s="145"/>
      <c r="B982" s="145"/>
      <c r="C982" s="145"/>
      <c r="D982" s="145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</row>
    <row r="983" ht="15.75" customHeight="1">
      <c r="A983" s="145"/>
      <c r="B983" s="145"/>
      <c r="C983" s="145"/>
      <c r="D983" s="145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</row>
    <row r="984" ht="15.75" customHeight="1">
      <c r="A984" s="145"/>
      <c r="B984" s="145"/>
      <c r="C984" s="145"/>
      <c r="D984" s="145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</row>
    <row r="985" ht="15.75" customHeight="1">
      <c r="A985" s="145"/>
      <c r="B985" s="145"/>
      <c r="C985" s="145"/>
      <c r="D985" s="145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</row>
    <row r="986" ht="15.75" customHeight="1">
      <c r="A986" s="145"/>
      <c r="B986" s="145"/>
      <c r="C986" s="145"/>
      <c r="D986" s="145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</row>
    <row r="987" ht="15.75" customHeight="1">
      <c r="A987" s="145"/>
      <c r="B987" s="145"/>
      <c r="C987" s="145"/>
      <c r="D987" s="145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</row>
    <row r="988" ht="15.75" customHeight="1">
      <c r="A988" s="145"/>
      <c r="B988" s="145"/>
      <c r="C988" s="145"/>
      <c r="D988" s="145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</row>
    <row r="989" ht="15.75" customHeight="1">
      <c r="A989" s="145"/>
      <c r="B989" s="145"/>
      <c r="C989" s="145"/>
      <c r="D989" s="145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</row>
    <row r="990" ht="15.75" customHeight="1">
      <c r="A990" s="145"/>
      <c r="B990" s="145"/>
      <c r="C990" s="145"/>
      <c r="D990" s="145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</row>
    <row r="991" ht="15.75" customHeight="1">
      <c r="A991" s="145"/>
      <c r="B991" s="145"/>
      <c r="C991" s="145"/>
      <c r="D991" s="145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</row>
    <row r="992" ht="15.75" customHeight="1">
      <c r="A992" s="145"/>
      <c r="B992" s="145"/>
      <c r="C992" s="145"/>
      <c r="D992" s="145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</row>
    <row r="993" ht="15.75" customHeight="1">
      <c r="A993" s="145"/>
      <c r="B993" s="145"/>
      <c r="C993" s="145"/>
      <c r="D993" s="145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</row>
    <row r="994" ht="15.75" customHeight="1">
      <c r="A994" s="145"/>
      <c r="B994" s="145"/>
      <c r="C994" s="145"/>
      <c r="D994" s="145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</row>
    <row r="995" ht="15.75" customHeight="1">
      <c r="A995" s="145"/>
      <c r="B995" s="145"/>
      <c r="C995" s="145"/>
      <c r="D995" s="145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</row>
    <row r="996" ht="15.75" customHeight="1">
      <c r="A996" s="145"/>
      <c r="B996" s="145"/>
      <c r="C996" s="145"/>
      <c r="D996" s="145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</row>
    <row r="997" ht="15.75" customHeight="1">
      <c r="A997" s="145"/>
      <c r="B997" s="145"/>
      <c r="C997" s="145"/>
      <c r="D997" s="145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</row>
    <row r="998" ht="15.75" customHeight="1">
      <c r="A998" s="145"/>
      <c r="B998" s="145"/>
      <c r="C998" s="145"/>
      <c r="D998" s="145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</row>
    <row r="999" ht="15.75" customHeight="1">
      <c r="A999" s="145"/>
      <c r="B999" s="145"/>
      <c r="C999" s="145"/>
      <c r="D999" s="145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</row>
    <row r="1000" ht="15.75" customHeight="1">
      <c r="A1000" s="145"/>
      <c r="B1000" s="145"/>
      <c r="C1000" s="145"/>
      <c r="D1000" s="145"/>
      <c r="E1000" s="145"/>
      <c r="F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</row>
  </sheetData>
  <mergeCells count="7">
    <mergeCell ref="A1:H1"/>
    <mergeCell ref="A2:H2"/>
    <mergeCell ref="A4:H4"/>
    <mergeCell ref="A10:H10"/>
    <mergeCell ref="A11:E11"/>
    <mergeCell ref="A13:H13"/>
    <mergeCell ref="A25:H2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24.71"/>
    <col customWidth="1" min="3" max="4" width="38.14"/>
    <col customWidth="1" min="5" max="5" width="28.57"/>
    <col customWidth="1" min="6" max="6" width="19.0"/>
    <col customWidth="1" min="7" max="7" width="13.29"/>
    <col customWidth="1" min="8" max="8" width="9.14"/>
    <col customWidth="1" min="9" max="26" width="8.71"/>
  </cols>
  <sheetData>
    <row r="1" ht="45.0" customHeight="1">
      <c r="A1" s="144" t="s">
        <v>347</v>
      </c>
      <c r="B1" s="57"/>
      <c r="C1" s="57"/>
      <c r="D1" s="57"/>
      <c r="E1" s="57"/>
      <c r="F1" s="57"/>
      <c r="G1" s="57"/>
      <c r="H1" s="58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ht="6.0" customHeight="1">
      <c r="A2" s="147"/>
      <c r="B2" s="147"/>
      <c r="C2" s="147"/>
      <c r="D2" s="147"/>
      <c r="E2" s="147"/>
      <c r="F2" s="147"/>
      <c r="G2" s="147"/>
      <c r="H2" s="147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</row>
    <row r="3" ht="32.25" customHeight="1">
      <c r="A3" s="186" t="s">
        <v>348</v>
      </c>
      <c r="B3" s="57"/>
      <c r="C3" s="57"/>
      <c r="D3" s="57"/>
      <c r="E3" s="57"/>
      <c r="F3" s="57"/>
      <c r="G3" s="57"/>
      <c r="H3" s="58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</row>
    <row r="4" ht="27.75" customHeight="1">
      <c r="A4" s="187" t="s">
        <v>85</v>
      </c>
      <c r="B4" s="188" t="s">
        <v>349</v>
      </c>
      <c r="C4" s="188" t="s">
        <v>254</v>
      </c>
      <c r="D4" s="188" t="s">
        <v>350</v>
      </c>
      <c r="E4" s="188" t="s">
        <v>351</v>
      </c>
      <c r="F4" s="188" t="s">
        <v>352</v>
      </c>
      <c r="G4" s="189" t="s">
        <v>216</v>
      </c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</row>
    <row r="5" ht="45.0" customHeight="1">
      <c r="A5" s="152" t="s">
        <v>353</v>
      </c>
      <c r="B5" s="153" t="s">
        <v>354</v>
      </c>
      <c r="C5" s="153" t="s">
        <v>355</v>
      </c>
      <c r="D5" s="153" t="s">
        <v>356</v>
      </c>
      <c r="E5" s="153" t="s">
        <v>357</v>
      </c>
      <c r="F5" s="153" t="s">
        <v>358</v>
      </c>
      <c r="G5" s="172" t="s">
        <v>359</v>
      </c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</row>
    <row r="6" ht="45.0" customHeight="1">
      <c r="A6" s="156" t="s">
        <v>360</v>
      </c>
      <c r="B6" s="157" t="s">
        <v>354</v>
      </c>
      <c r="C6" s="157" t="s">
        <v>361</v>
      </c>
      <c r="D6" s="157" t="s">
        <v>362</v>
      </c>
      <c r="E6" s="157" t="s">
        <v>363</v>
      </c>
      <c r="F6" s="157" t="s">
        <v>358</v>
      </c>
      <c r="G6" s="174" t="s">
        <v>359</v>
      </c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</row>
    <row r="7" ht="45.0" customHeight="1">
      <c r="A7" s="152" t="s">
        <v>364</v>
      </c>
      <c r="B7" s="153" t="s">
        <v>354</v>
      </c>
      <c r="C7" s="153" t="s">
        <v>365</v>
      </c>
      <c r="D7" s="153" t="s">
        <v>366</v>
      </c>
      <c r="E7" s="153" t="s">
        <v>367</v>
      </c>
      <c r="F7" s="153" t="s">
        <v>368</v>
      </c>
      <c r="G7" s="172" t="s">
        <v>359</v>
      </c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ht="45.0" customHeight="1">
      <c r="A8" s="160" t="s">
        <v>369</v>
      </c>
      <c r="B8" s="161" t="s">
        <v>370</v>
      </c>
      <c r="C8" s="161" t="s">
        <v>371</v>
      </c>
      <c r="D8" s="161" t="s">
        <v>372</v>
      </c>
      <c r="E8" s="161" t="s">
        <v>373</v>
      </c>
      <c r="F8" s="161" t="s">
        <v>368</v>
      </c>
      <c r="G8" s="190" t="s">
        <v>359</v>
      </c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 ht="6.0" customHeight="1">
      <c r="A9" s="147"/>
      <c r="B9" s="147"/>
      <c r="C9" s="147"/>
      <c r="D9" s="147"/>
      <c r="E9" s="147"/>
      <c r="F9" s="147"/>
      <c r="G9" s="147"/>
      <c r="H9" s="147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ht="32.25" customHeight="1">
      <c r="A10" s="191" t="s">
        <v>374</v>
      </c>
      <c r="B10" s="57"/>
      <c r="C10" s="57"/>
      <c r="D10" s="57"/>
      <c r="E10" s="57"/>
      <c r="F10" s="57"/>
      <c r="G10" s="57"/>
      <c r="H10" s="58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</row>
    <row r="11" ht="27.75" customHeight="1">
      <c r="A11" s="192" t="s">
        <v>375</v>
      </c>
      <c r="B11" s="193" t="s">
        <v>376</v>
      </c>
      <c r="C11" s="193" t="s">
        <v>377</v>
      </c>
      <c r="D11" s="193" t="s">
        <v>254</v>
      </c>
      <c r="E11" s="193" t="s">
        <v>378</v>
      </c>
      <c r="F11" s="194" t="s">
        <v>379</v>
      </c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ht="39.75" customHeight="1">
      <c r="A12" s="152">
        <v>1.0</v>
      </c>
      <c r="B12" s="153" t="s">
        <v>380</v>
      </c>
      <c r="C12" s="171" t="s">
        <v>381</v>
      </c>
      <c r="D12" s="153" t="s">
        <v>382</v>
      </c>
      <c r="E12" s="153" t="s">
        <v>383</v>
      </c>
      <c r="F12" s="172" t="s">
        <v>384</v>
      </c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ht="39.75" customHeight="1">
      <c r="A13" s="156">
        <v>2.0</v>
      </c>
      <c r="B13" s="157" t="s">
        <v>385</v>
      </c>
      <c r="C13" s="173" t="s">
        <v>386</v>
      </c>
      <c r="D13" s="157" t="s">
        <v>387</v>
      </c>
      <c r="E13" s="157" t="s">
        <v>388</v>
      </c>
      <c r="F13" s="174" t="s">
        <v>389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 ht="39.75" customHeight="1">
      <c r="A14" s="152">
        <v>3.0</v>
      </c>
      <c r="B14" s="153" t="s">
        <v>390</v>
      </c>
      <c r="C14" s="171" t="s">
        <v>391</v>
      </c>
      <c r="D14" s="153" t="s">
        <v>392</v>
      </c>
      <c r="E14" s="153" t="s">
        <v>393</v>
      </c>
      <c r="F14" s="172" t="s">
        <v>384</v>
      </c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ht="39.75" customHeight="1">
      <c r="A15" s="156">
        <v>4.0</v>
      </c>
      <c r="B15" s="157" t="s">
        <v>394</v>
      </c>
      <c r="C15" s="173" t="s">
        <v>395</v>
      </c>
      <c r="D15" s="157" t="s">
        <v>396</v>
      </c>
      <c r="E15" s="157" t="s">
        <v>397</v>
      </c>
      <c r="F15" s="174" t="s">
        <v>389</v>
      </c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ht="39.75" customHeight="1">
      <c r="A16" s="175">
        <v>5.0</v>
      </c>
      <c r="B16" s="176" t="s">
        <v>398</v>
      </c>
      <c r="C16" s="184" t="s">
        <v>399</v>
      </c>
      <c r="D16" s="176" t="s">
        <v>400</v>
      </c>
      <c r="E16" s="176" t="s">
        <v>401</v>
      </c>
      <c r="F16" s="177" t="s">
        <v>389</v>
      </c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ht="6.0" customHeight="1">
      <c r="A17" s="147"/>
      <c r="B17" s="147"/>
      <c r="C17" s="147"/>
      <c r="D17" s="147"/>
      <c r="E17" s="147"/>
      <c r="F17" s="147"/>
      <c r="G17" s="147"/>
      <c r="H17" s="147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 ht="32.25" customHeight="1">
      <c r="A18" s="195" t="s">
        <v>402</v>
      </c>
      <c r="B18" s="57"/>
      <c r="C18" s="57"/>
      <c r="D18" s="57"/>
      <c r="E18" s="57"/>
      <c r="F18" s="57"/>
      <c r="G18" s="57"/>
      <c r="H18" s="58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ht="27.75" customHeight="1">
      <c r="A19" s="167" t="s">
        <v>403</v>
      </c>
      <c r="B19" s="168" t="s">
        <v>404</v>
      </c>
      <c r="C19" s="168" t="s">
        <v>405</v>
      </c>
      <c r="D19" s="168" t="s">
        <v>406</v>
      </c>
      <c r="E19" s="170" t="s">
        <v>127</v>
      </c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ht="50.25" customHeight="1">
      <c r="A20" s="152" t="s">
        <v>407</v>
      </c>
      <c r="B20" s="153" t="s">
        <v>408</v>
      </c>
      <c r="C20" s="153" t="s">
        <v>409</v>
      </c>
      <c r="D20" s="153" t="s">
        <v>410</v>
      </c>
      <c r="E20" s="172" t="s">
        <v>411</v>
      </c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ht="50.25" customHeight="1">
      <c r="A21" s="156" t="s">
        <v>412</v>
      </c>
      <c r="B21" s="157" t="s">
        <v>413</v>
      </c>
      <c r="C21" s="157" t="s">
        <v>414</v>
      </c>
      <c r="D21" s="157" t="s">
        <v>415</v>
      </c>
      <c r="E21" s="174" t="s">
        <v>416</v>
      </c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ht="50.25" customHeight="1">
      <c r="A22" s="152" t="s">
        <v>417</v>
      </c>
      <c r="B22" s="153" t="s">
        <v>418</v>
      </c>
      <c r="C22" s="153" t="s">
        <v>419</v>
      </c>
      <c r="D22" s="153" t="s">
        <v>420</v>
      </c>
      <c r="E22" s="172" t="s">
        <v>421</v>
      </c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ht="50.25" customHeight="1">
      <c r="A23" s="156" t="s">
        <v>422</v>
      </c>
      <c r="B23" s="157" t="s">
        <v>423</v>
      </c>
      <c r="C23" s="157" t="s">
        <v>424</v>
      </c>
      <c r="D23" s="157" t="s">
        <v>425</v>
      </c>
      <c r="E23" s="174" t="s">
        <v>426</v>
      </c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ht="50.25" customHeight="1">
      <c r="A24" s="175" t="s">
        <v>427</v>
      </c>
      <c r="B24" s="176" t="s">
        <v>428</v>
      </c>
      <c r="C24" s="176" t="s">
        <v>429</v>
      </c>
      <c r="D24" s="176" t="s">
        <v>430</v>
      </c>
      <c r="E24" s="177" t="s">
        <v>431</v>
      </c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ht="15.75" customHeight="1">
      <c r="A25" s="196" t="s">
        <v>432</v>
      </c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ht="15.75" customHeight="1">
      <c r="A26" s="145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ht="15.75" customHeight="1">
      <c r="A27" s="145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ht="15.75" customHeight="1">
      <c r="A28" s="145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ht="15.75" customHeight="1">
      <c r="A29" s="145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ht="15.75" customHeight="1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 ht="15.75" customHeight="1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ht="15.75" customHeight="1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ht="15.75" customHeight="1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ht="15.75" customHeight="1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ht="15.75" customHeight="1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ht="15.75" customHeight="1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ht="15.75" customHeight="1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ht="15.75" customHeight="1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ht="15.75" customHeight="1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ht="15.75" customHeight="1">
      <c r="A40" s="145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ht="15.75" customHeight="1">
      <c r="A41" s="145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ht="15.75" customHeight="1">
      <c r="A42" s="145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ht="15.75" customHeight="1">
      <c r="A43" s="145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ht="15.75" customHeight="1">
      <c r="A44" s="145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ht="15.75" customHeight="1">
      <c r="A45" s="145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ht="15.75" customHeight="1">
      <c r="A46" s="145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ht="15.75" customHeight="1">
      <c r="A47" s="145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ht="15.75" customHeight="1">
      <c r="A48" s="145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ht="15.75" customHeight="1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ht="15.75" customHeight="1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ht="15.75" customHeight="1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ht="15.75" customHeight="1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ht="15.75" customHeight="1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ht="15.75" customHeight="1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ht="15.75" customHeight="1">
      <c r="A55" s="145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ht="15.75" customHeight="1">
      <c r="A56" s="145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ht="15.75" customHeight="1">
      <c r="A57" s="145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ht="15.75" customHeight="1">
      <c r="A58" s="145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ht="15.75" customHeight="1">
      <c r="A59" s="145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ht="15.75" customHeight="1">
      <c r="A60" s="145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ht="15.75" customHeight="1">
      <c r="A61" s="145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ht="15.75" customHeight="1">
      <c r="A62" s="145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ht="15.75" customHeight="1">
      <c r="A63" s="145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ht="15.75" customHeight="1">
      <c r="A64" s="145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ht="15.75" customHeight="1">
      <c r="A65" s="145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ht="15.75" customHeight="1">
      <c r="A66" s="145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ht="15.75" customHeight="1">
      <c r="A67" s="145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ht="15.75" customHeight="1">
      <c r="A68" s="145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ht="15.75" customHeight="1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ht="15.75" customHeight="1">
      <c r="A70" s="145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ht="15.75" customHeight="1">
      <c r="A71" s="145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ht="15.75" customHeight="1">
      <c r="A72" s="145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ht="15.75" customHeight="1">
      <c r="A73" s="145"/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ht="15.75" customHeight="1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ht="15.75" customHeight="1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ht="15.75" customHeight="1">
      <c r="A76" s="145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ht="15.75" customHeight="1">
      <c r="A77" s="145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ht="15.75" customHeight="1">
      <c r="A78" s="145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ht="15.75" customHeight="1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ht="15.75" customHeight="1">
      <c r="A80" s="145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ht="15.75" customHeight="1">
      <c r="A81" s="145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ht="15.75" customHeight="1">
      <c r="A82" s="145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ht="15.75" customHeight="1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ht="15.75" customHeight="1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ht="15.75" customHeight="1">
      <c r="A85" s="145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ht="15.75" customHeight="1">
      <c r="A86" s="145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ht="15.75" customHeight="1">
      <c r="A87" s="145"/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ht="15.75" customHeight="1">
      <c r="A88" s="145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ht="15.75" customHeight="1">
      <c r="A89" s="145"/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ht="15.75" customHeight="1">
      <c r="A90" s="145"/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ht="15.75" customHeight="1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ht="15.75" customHeight="1">
      <c r="A92" s="145"/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ht="15.75" customHeight="1">
      <c r="A93" s="145"/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ht="15.75" customHeight="1">
      <c r="A94" s="145"/>
      <c r="B94" s="145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ht="15.75" customHeight="1">
      <c r="A95" s="145"/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ht="15.75" customHeight="1">
      <c r="A96" s="145"/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ht="15.75" customHeight="1">
      <c r="A97" s="145"/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ht="15.75" customHeight="1">
      <c r="A98" s="145"/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ht="15.75" customHeight="1">
      <c r="A99" s="145"/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ht="15.75" customHeight="1">
      <c r="A100" s="145"/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ht="15.75" customHeight="1">
      <c r="A101" s="145"/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ht="15.75" customHeight="1">
      <c r="A102" s="145"/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ht="15.75" customHeight="1">
      <c r="A103" s="145"/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ht="15.75" customHeight="1">
      <c r="A104" s="145"/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ht="15.75" customHeight="1">
      <c r="A105" s="145"/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ht="15.75" customHeight="1">
      <c r="A106" s="145"/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ht="15.75" customHeight="1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ht="15.75" customHeight="1">
      <c r="A108" s="145"/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ht="15.75" customHeight="1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ht="15.75" customHeight="1">
      <c r="A110" s="145"/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ht="15.75" customHeight="1">
      <c r="A111" s="145"/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ht="15.75" customHeight="1">
      <c r="A112" s="145"/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ht="15.75" customHeight="1">
      <c r="A113" s="145"/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ht="15.75" customHeight="1">
      <c r="A114" s="145"/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ht="15.75" customHeight="1">
      <c r="A115" s="145"/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ht="15.75" customHeight="1">
      <c r="A116" s="145"/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ht="15.75" customHeight="1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ht="15.75" customHeight="1">
      <c r="A118" s="145"/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ht="15.75" customHeight="1">
      <c r="A119" s="145"/>
      <c r="B119" s="145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ht="15.75" customHeight="1">
      <c r="A120" s="145"/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ht="15.75" customHeight="1">
      <c r="A121" s="145"/>
      <c r="B121" s="145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ht="15.75" customHeight="1">
      <c r="A122" s="145"/>
      <c r="B122" s="145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ht="15.75" customHeight="1">
      <c r="A123" s="145"/>
      <c r="B123" s="145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ht="15.75" customHeight="1">
      <c r="A124" s="145"/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ht="15.75" customHeight="1">
      <c r="A125" s="145"/>
      <c r="B125" s="145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ht="15.75" customHeight="1">
      <c r="A126" s="145"/>
      <c r="B126" s="145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ht="15.75" customHeight="1">
      <c r="A127" s="145"/>
      <c r="B127" s="145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ht="15.75" customHeight="1">
      <c r="A128" s="145"/>
      <c r="B128" s="145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ht="15.75" customHeight="1">
      <c r="A129" s="145"/>
      <c r="B129" s="14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ht="15.75" customHeight="1">
      <c r="A130" s="145"/>
      <c r="B130" s="145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ht="15.75" customHeight="1">
      <c r="A131" s="145"/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ht="15.75" customHeight="1">
      <c r="A132" s="145"/>
      <c r="B132" s="145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ht="15.75" customHeight="1">
      <c r="A133" s="145"/>
      <c r="B133" s="145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ht="15.75" customHeight="1">
      <c r="A134" s="145"/>
      <c r="B134" s="145"/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ht="15.75" customHeight="1">
      <c r="A135" s="145"/>
      <c r="B135" s="145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ht="15.75" customHeight="1">
      <c r="A136" s="145"/>
      <c r="B136" s="145"/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ht="15.75" customHeight="1">
      <c r="A137" s="145"/>
      <c r="B137" s="145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ht="15.75" customHeight="1">
      <c r="A138" s="145"/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ht="15.75" customHeight="1">
      <c r="A139" s="145"/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ht="15.75" customHeight="1">
      <c r="A140" s="145"/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ht="15.75" customHeight="1">
      <c r="A141" s="145"/>
      <c r="B141" s="145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ht="15.75" customHeight="1">
      <c r="A142" s="145"/>
      <c r="B142" s="145"/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ht="15.75" customHeight="1">
      <c r="A143" s="145"/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ht="15.75" customHeight="1">
      <c r="A144" s="145"/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ht="15.75" customHeight="1">
      <c r="A145" s="145"/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ht="15.75" customHeight="1">
      <c r="A146" s="145"/>
      <c r="B146" s="145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ht="15.75" customHeight="1">
      <c r="A147" s="145"/>
      <c r="B147" s="145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ht="15.75" customHeight="1">
      <c r="A148" s="145"/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ht="15.75" customHeight="1">
      <c r="A149" s="145"/>
      <c r="B149" s="145"/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ht="15.75" customHeight="1">
      <c r="A150" s="145"/>
      <c r="B150" s="145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ht="15.75" customHeight="1">
      <c r="A151" s="145"/>
      <c r="B151" s="145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ht="15.75" customHeight="1">
      <c r="A152" s="145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ht="15.75" customHeight="1">
      <c r="A153" s="145"/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ht="15.75" customHeight="1">
      <c r="A154" s="145"/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ht="15.75" customHeight="1">
      <c r="A155" s="145"/>
      <c r="B155" s="145"/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ht="15.75" customHeight="1">
      <c r="A156" s="145"/>
      <c r="B156" s="145"/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ht="15.75" customHeight="1">
      <c r="A157" s="145"/>
      <c r="B157" s="145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ht="15.75" customHeight="1">
      <c r="A158" s="145"/>
      <c r="B158" s="145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ht="15.75" customHeight="1">
      <c r="A159" s="145"/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ht="15.75" customHeight="1">
      <c r="A160" s="145"/>
      <c r="B160" s="145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ht="15.75" customHeight="1">
      <c r="A161" s="145"/>
      <c r="B161" s="145"/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ht="15.75" customHeight="1">
      <c r="A162" s="145"/>
      <c r="B162" s="145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ht="15.75" customHeight="1">
      <c r="A163" s="145"/>
      <c r="B163" s="145"/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ht="15.75" customHeight="1">
      <c r="A164" s="145"/>
      <c r="B164" s="145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ht="15.75" customHeight="1">
      <c r="A165" s="145"/>
      <c r="B165" s="145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ht="15.75" customHeight="1">
      <c r="A166" s="145"/>
      <c r="B166" s="145"/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ht="15.75" customHeight="1">
      <c r="A167" s="145"/>
      <c r="B167" s="145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ht="15.75" customHeight="1">
      <c r="A168" s="145"/>
      <c r="B168" s="145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ht="15.75" customHeight="1">
      <c r="A169" s="145"/>
      <c r="B169" s="145"/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ht="15.75" customHeight="1">
      <c r="A170" s="145"/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ht="15.75" customHeight="1">
      <c r="A171" s="145"/>
      <c r="B171" s="145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ht="15.75" customHeight="1">
      <c r="A172" s="145"/>
      <c r="B172" s="145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ht="15.75" customHeight="1">
      <c r="A173" s="145"/>
      <c r="B173" s="145"/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ht="15.75" customHeight="1">
      <c r="A174" s="145"/>
      <c r="B174" s="145"/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ht="15.75" customHeight="1">
      <c r="A175" s="145"/>
      <c r="B175" s="145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ht="15.75" customHeight="1">
      <c r="A176" s="145"/>
      <c r="B176" s="145"/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ht="15.75" customHeight="1">
      <c r="A177" s="145"/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ht="15.75" customHeight="1">
      <c r="A178" s="145"/>
      <c r="B178" s="145"/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ht="15.75" customHeight="1">
      <c r="A179" s="145"/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ht="15.75" customHeight="1">
      <c r="A180" s="145"/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ht="15.75" customHeight="1">
      <c r="A181" s="145"/>
      <c r="B181" s="145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ht="15.75" customHeight="1">
      <c r="A182" s="145"/>
      <c r="B182" s="145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ht="15.75" customHeight="1">
      <c r="A183" s="145"/>
      <c r="B183" s="145"/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ht="15.75" customHeight="1">
      <c r="A184" s="145"/>
      <c r="B184" s="145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ht="15.75" customHeight="1">
      <c r="A185" s="145"/>
      <c r="B185" s="145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ht="15.75" customHeight="1">
      <c r="A186" s="145"/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ht="15.75" customHeight="1">
      <c r="A187" s="145"/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ht="15.75" customHeight="1">
      <c r="A188" s="145"/>
      <c r="B188" s="145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ht="15.75" customHeight="1">
      <c r="A189" s="145"/>
      <c r="B189" s="145"/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ht="15.75" customHeight="1">
      <c r="A190" s="145"/>
      <c r="B190" s="145"/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ht="15.75" customHeight="1">
      <c r="A191" s="145"/>
      <c r="B191" s="145"/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ht="15.75" customHeight="1">
      <c r="A192" s="145"/>
      <c r="B192" s="145"/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ht="15.75" customHeight="1">
      <c r="A193" s="145"/>
      <c r="B193" s="145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ht="15.75" customHeight="1">
      <c r="A194" s="145"/>
      <c r="B194" s="145"/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ht="15.75" customHeight="1">
      <c r="A195" s="145"/>
      <c r="B195" s="145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ht="15.75" customHeight="1">
      <c r="A196" s="145"/>
      <c r="B196" s="145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ht="15.75" customHeight="1">
      <c r="A197" s="145"/>
      <c r="B197" s="145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ht="15.75" customHeight="1">
      <c r="A198" s="145"/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ht="15.75" customHeight="1">
      <c r="A199" s="145"/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ht="15.75" customHeight="1">
      <c r="A200" s="145"/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ht="15.75" customHeight="1">
      <c r="A201" s="145"/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ht="15.75" customHeight="1">
      <c r="A202" s="145"/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ht="15.75" customHeight="1">
      <c r="A203" s="145"/>
      <c r="B203" s="145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ht="15.75" customHeight="1">
      <c r="A204" s="145"/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ht="15.75" customHeight="1">
      <c r="A205" s="145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ht="15.75" customHeight="1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ht="15.75" customHeight="1">
      <c r="A207" s="145"/>
      <c r="B207" s="145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ht="15.75" customHeight="1">
      <c r="A208" s="145"/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ht="15.75" customHeight="1">
      <c r="A209" s="145"/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ht="15.75" customHeight="1">
      <c r="A210" s="145"/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ht="15.75" customHeight="1">
      <c r="A211" s="145"/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ht="15.75" customHeight="1">
      <c r="A212" s="145"/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ht="15.75" customHeight="1">
      <c r="A213" s="145"/>
      <c r="B213" s="145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ht="15.75" customHeight="1">
      <c r="A214" s="145"/>
      <c r="B214" s="145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ht="15.75" customHeight="1">
      <c r="A215" s="145"/>
      <c r="B215" s="145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ht="15.75" customHeight="1">
      <c r="A216" s="145"/>
      <c r="B216" s="145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ht="15.75" customHeight="1">
      <c r="A217" s="145"/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ht="15.75" customHeight="1">
      <c r="A218" s="145"/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ht="15.75" customHeight="1">
      <c r="A219" s="145"/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ht="15.75" customHeight="1">
      <c r="A220" s="145"/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ht="15.75" customHeight="1">
      <c r="A221" s="145"/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ht="15.75" customHeight="1">
      <c r="A222" s="145"/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ht="15.75" customHeight="1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ht="15.75" customHeight="1">
      <c r="A224" s="145"/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ht="15.75" customHeight="1">
      <c r="A225" s="145"/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ht="15.75" customHeight="1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ht="15.75" customHeight="1">
      <c r="A227" s="145"/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ht="15.75" customHeight="1">
      <c r="A228" s="145"/>
      <c r="B228" s="145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ht="15.75" customHeight="1">
      <c r="A229" s="145"/>
      <c r="B229" s="145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ht="15.75" customHeight="1">
      <c r="A230" s="145"/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ht="15.75" customHeight="1">
      <c r="A231" s="145"/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ht="15.75" customHeight="1">
      <c r="A232" s="145"/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ht="15.75" customHeight="1">
      <c r="A233" s="145"/>
      <c r="B233" s="145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 ht="15.75" customHeight="1">
      <c r="A234" s="145"/>
      <c r="B234" s="145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 ht="15.75" customHeight="1">
      <c r="A235" s="145"/>
      <c r="B235" s="145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</row>
    <row r="236" ht="15.75" customHeight="1">
      <c r="A236" s="145"/>
      <c r="B236" s="145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</row>
    <row r="237" ht="15.75" customHeight="1">
      <c r="A237" s="145"/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</row>
    <row r="238" ht="15.75" customHeight="1">
      <c r="A238" s="145"/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</row>
    <row r="239" ht="15.75" customHeight="1">
      <c r="A239" s="145"/>
      <c r="B239" s="145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</row>
    <row r="240" ht="15.75" customHeight="1">
      <c r="A240" s="145"/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</row>
    <row r="241" ht="15.75" customHeight="1">
      <c r="A241" s="145"/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</row>
    <row r="242" ht="15.75" customHeight="1">
      <c r="A242" s="145"/>
      <c r="B242" s="145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</row>
    <row r="243" ht="15.75" customHeight="1">
      <c r="A243" s="145"/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</row>
    <row r="244" ht="15.75" customHeight="1">
      <c r="A244" s="145"/>
      <c r="B244" s="145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</row>
    <row r="245" ht="15.75" customHeight="1">
      <c r="A245" s="145"/>
      <c r="B245" s="145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</row>
    <row r="246" ht="15.75" customHeight="1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</row>
    <row r="247" ht="15.75" customHeight="1">
      <c r="A247" s="145"/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</row>
    <row r="248" ht="15.75" customHeight="1">
      <c r="A248" s="145"/>
      <c r="B248" s="145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</row>
    <row r="249" ht="15.75" customHeight="1">
      <c r="A249" s="145"/>
      <c r="B249" s="145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</row>
    <row r="250" ht="15.75" customHeight="1">
      <c r="A250" s="145"/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</row>
    <row r="251" ht="15.75" customHeight="1">
      <c r="A251" s="145"/>
      <c r="B251" s="145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</row>
    <row r="252" ht="15.75" customHeight="1">
      <c r="A252" s="145"/>
      <c r="B252" s="145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</row>
    <row r="253" ht="15.75" customHeight="1">
      <c r="A253" s="145"/>
      <c r="B253" s="145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</row>
    <row r="254" ht="15.75" customHeight="1">
      <c r="A254" s="145"/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</row>
    <row r="255" ht="15.75" customHeight="1">
      <c r="A255" s="145"/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</row>
    <row r="256" ht="15.75" customHeight="1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</row>
    <row r="257" ht="15.75" customHeight="1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</row>
    <row r="258" ht="15.75" customHeight="1">
      <c r="A258" s="145"/>
      <c r="B258" s="145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</row>
    <row r="259" ht="15.75" customHeight="1">
      <c r="A259" s="145"/>
      <c r="B259" s="145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</row>
    <row r="260" ht="15.75" customHeight="1">
      <c r="A260" s="145"/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</row>
    <row r="261" ht="15.75" customHeight="1">
      <c r="A261" s="145"/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</row>
    <row r="262" ht="15.75" customHeight="1">
      <c r="A262" s="145"/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</row>
    <row r="263" ht="15.75" customHeight="1">
      <c r="A263" s="145"/>
      <c r="B263" s="145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</row>
    <row r="264" ht="15.75" customHeight="1">
      <c r="A264" s="145"/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</row>
    <row r="265" ht="15.75" customHeight="1">
      <c r="A265" s="145"/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</row>
    <row r="266" ht="15.75" customHeight="1">
      <c r="A266" s="145"/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</row>
    <row r="267" ht="15.75" customHeight="1">
      <c r="A267" s="145"/>
      <c r="B267" s="145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</row>
    <row r="268" ht="15.75" customHeight="1">
      <c r="A268" s="145"/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</row>
    <row r="269" ht="15.75" customHeight="1">
      <c r="A269" s="145"/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</row>
    <row r="270" ht="15.75" customHeight="1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</row>
    <row r="271" ht="15.75" customHeight="1">
      <c r="A271" s="145"/>
      <c r="B271" s="145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</row>
    <row r="272" ht="15.75" customHeight="1">
      <c r="A272" s="145"/>
      <c r="B272" s="145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</row>
    <row r="273" ht="15.75" customHeight="1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</row>
    <row r="274" ht="15.75" customHeight="1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</row>
    <row r="275" ht="15.75" customHeight="1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</row>
    <row r="276" ht="15.75" customHeight="1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</row>
    <row r="277" ht="15.75" customHeight="1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</row>
    <row r="278" ht="15.75" customHeight="1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</row>
    <row r="279" ht="15.75" customHeight="1">
      <c r="A279" s="145"/>
      <c r="B279" s="145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</row>
    <row r="280" ht="15.75" customHeight="1">
      <c r="A280" s="145"/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</row>
    <row r="281" ht="15.75" customHeight="1">
      <c r="A281" s="145"/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</row>
    <row r="282" ht="15.75" customHeight="1">
      <c r="A282" s="145"/>
      <c r="B282" s="145"/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</row>
    <row r="283" ht="15.75" customHeight="1">
      <c r="A283" s="145"/>
      <c r="B283" s="145"/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</row>
    <row r="284" ht="15.75" customHeight="1">
      <c r="A284" s="145"/>
      <c r="B284" s="145"/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</row>
    <row r="285" ht="15.75" customHeight="1">
      <c r="A285" s="145"/>
      <c r="B285" s="145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</row>
    <row r="286" ht="15.75" customHeight="1">
      <c r="A286" s="145"/>
      <c r="B286" s="145"/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</row>
    <row r="287" ht="15.75" customHeight="1">
      <c r="A287" s="145"/>
      <c r="B287" s="145"/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</row>
    <row r="288" ht="15.75" customHeight="1">
      <c r="A288" s="145"/>
      <c r="B288" s="145"/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</row>
    <row r="289" ht="15.75" customHeight="1">
      <c r="A289" s="145"/>
      <c r="B289" s="145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</row>
    <row r="290" ht="15.75" customHeight="1">
      <c r="A290" s="145"/>
      <c r="B290" s="145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</row>
    <row r="291" ht="15.75" customHeight="1">
      <c r="A291" s="145"/>
      <c r="B291" s="145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</row>
    <row r="292" ht="15.75" customHeight="1">
      <c r="A292" s="145"/>
      <c r="B292" s="145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</row>
    <row r="293" ht="15.75" customHeight="1">
      <c r="A293" s="145"/>
      <c r="B293" s="145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</row>
    <row r="294" ht="15.75" customHeight="1">
      <c r="A294" s="145"/>
      <c r="B294" s="145"/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</row>
    <row r="295" ht="15.75" customHeight="1">
      <c r="A295" s="145"/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</row>
    <row r="296" ht="15.75" customHeight="1">
      <c r="A296" s="145"/>
      <c r="B296" s="145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</row>
    <row r="297" ht="15.75" customHeight="1">
      <c r="A297" s="145"/>
      <c r="B297" s="145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</row>
    <row r="298" ht="15.75" customHeight="1">
      <c r="A298" s="145"/>
      <c r="B298" s="145"/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</row>
    <row r="299" ht="15.75" customHeight="1">
      <c r="A299" s="145"/>
      <c r="B299" s="145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</row>
    <row r="300" ht="15.75" customHeight="1">
      <c r="A300" s="145"/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</row>
    <row r="301" ht="15.75" customHeight="1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</row>
    <row r="302" ht="15.75" customHeight="1">
      <c r="A302" s="145"/>
      <c r="B302" s="145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</row>
    <row r="303" ht="15.75" customHeight="1">
      <c r="A303" s="145"/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</row>
    <row r="304" ht="15.75" customHeight="1">
      <c r="A304" s="145"/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</row>
    <row r="305" ht="15.75" customHeight="1">
      <c r="A305" s="145"/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</row>
    <row r="306" ht="15.75" customHeight="1">
      <c r="A306" s="145"/>
      <c r="B306" s="145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</row>
    <row r="307" ht="15.75" customHeight="1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</row>
    <row r="308" ht="15.75" customHeight="1">
      <c r="A308" s="145"/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</row>
    <row r="309" ht="15.75" customHeight="1">
      <c r="A309" s="145"/>
      <c r="B309" s="145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</row>
    <row r="310" ht="15.75" customHeight="1">
      <c r="A310" s="145"/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</row>
    <row r="311" ht="15.75" customHeight="1">
      <c r="A311" s="145"/>
      <c r="B311" s="145"/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</row>
    <row r="312" ht="15.75" customHeight="1">
      <c r="A312" s="145"/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</row>
    <row r="313" ht="15.75" customHeight="1">
      <c r="A313" s="145"/>
      <c r="B313" s="145"/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</row>
    <row r="314" ht="15.75" customHeight="1">
      <c r="A314" s="145"/>
      <c r="B314" s="145"/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</row>
    <row r="315" ht="15.75" customHeight="1">
      <c r="A315" s="145"/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</row>
    <row r="316" ht="15.75" customHeight="1">
      <c r="A316" s="145"/>
      <c r="B316" s="145"/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</row>
    <row r="317" ht="15.75" customHeight="1">
      <c r="A317" s="145"/>
      <c r="B317" s="145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</row>
    <row r="318" ht="15.75" customHeight="1">
      <c r="A318" s="145"/>
      <c r="B318" s="145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</row>
    <row r="319" ht="15.75" customHeight="1">
      <c r="A319" s="145"/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</row>
    <row r="320" ht="15.75" customHeight="1">
      <c r="A320" s="145"/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</row>
    <row r="321" ht="15.75" customHeight="1">
      <c r="A321" s="145"/>
      <c r="B321" s="145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</row>
    <row r="322" ht="15.75" customHeight="1">
      <c r="A322" s="145"/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</row>
    <row r="323" ht="15.75" customHeight="1">
      <c r="A323" s="145"/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</row>
    <row r="324" ht="15.75" customHeight="1">
      <c r="A324" s="145"/>
      <c r="B324" s="145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</row>
    <row r="325" ht="15.75" customHeight="1">
      <c r="A325" s="145"/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</row>
    <row r="326" ht="15.75" customHeight="1">
      <c r="A326" s="145"/>
      <c r="B326" s="145"/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</row>
    <row r="327" ht="15.75" customHeight="1">
      <c r="A327" s="145"/>
      <c r="B327" s="145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</row>
    <row r="328" ht="15.75" customHeight="1">
      <c r="A328" s="145"/>
      <c r="B328" s="145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</row>
    <row r="329" ht="15.75" customHeight="1">
      <c r="A329" s="145"/>
      <c r="B329" s="145"/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</row>
    <row r="330" ht="15.75" customHeight="1">
      <c r="A330" s="145"/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</row>
    <row r="331" ht="15.75" customHeight="1">
      <c r="A331" s="145"/>
      <c r="B331" s="145"/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</row>
    <row r="332" ht="15.75" customHeight="1">
      <c r="A332" s="145"/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</row>
    <row r="333" ht="15.75" customHeight="1">
      <c r="A333" s="145"/>
      <c r="B333" s="145"/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</row>
    <row r="334" ht="15.75" customHeight="1">
      <c r="A334" s="145"/>
      <c r="B334" s="145"/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</row>
    <row r="335" ht="15.75" customHeight="1">
      <c r="A335" s="145"/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</row>
    <row r="336" ht="15.75" customHeight="1">
      <c r="A336" s="145"/>
      <c r="B336" s="145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</row>
    <row r="337" ht="15.75" customHeight="1">
      <c r="A337" s="145"/>
      <c r="B337" s="145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</row>
    <row r="338" ht="15.75" customHeight="1">
      <c r="A338" s="145"/>
      <c r="B338" s="145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</row>
    <row r="339" ht="15.75" customHeight="1">
      <c r="A339" s="145"/>
      <c r="B339" s="145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</row>
    <row r="340" ht="15.75" customHeight="1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</row>
    <row r="341" ht="15.75" customHeight="1">
      <c r="A341" s="145"/>
      <c r="B341" s="145"/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</row>
    <row r="342" ht="15.75" customHeight="1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</row>
    <row r="343" ht="15.75" customHeight="1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</row>
    <row r="344" ht="15.75" customHeight="1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</row>
    <row r="345" ht="15.75" customHeight="1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</row>
    <row r="346" ht="15.75" customHeight="1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</row>
    <row r="347" ht="15.75" customHeight="1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</row>
    <row r="348" ht="15.75" customHeight="1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</row>
    <row r="349" ht="15.75" customHeight="1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</row>
    <row r="350" ht="15.75" customHeight="1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</row>
    <row r="351" ht="15.75" customHeight="1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</row>
    <row r="352" ht="15.75" customHeight="1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</row>
    <row r="353" ht="15.75" customHeight="1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</row>
    <row r="354" ht="15.75" customHeight="1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</row>
    <row r="355" ht="15.75" customHeight="1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</row>
    <row r="356" ht="15.75" customHeight="1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</row>
    <row r="357" ht="15.75" customHeight="1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</row>
    <row r="358" ht="15.75" customHeight="1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</row>
    <row r="359" ht="15.75" customHeight="1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</row>
    <row r="360" ht="15.75" customHeight="1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</row>
    <row r="361" ht="15.75" customHeight="1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</row>
    <row r="362" ht="15.75" customHeight="1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</row>
    <row r="363" ht="15.75" customHeight="1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</row>
    <row r="364" ht="15.75" customHeight="1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</row>
    <row r="365" ht="15.75" customHeight="1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</row>
    <row r="366" ht="15.75" customHeight="1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</row>
    <row r="367" ht="15.75" customHeight="1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</row>
    <row r="368" ht="15.75" customHeight="1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</row>
    <row r="369" ht="15.75" customHeight="1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</row>
    <row r="370" ht="15.75" customHeight="1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</row>
    <row r="371" ht="15.75" customHeight="1">
      <c r="A371" s="145"/>
      <c r="B371" s="145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</row>
    <row r="372" ht="15.75" customHeight="1">
      <c r="A372" s="145"/>
      <c r="B372" s="145"/>
      <c r="C372" s="145"/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</row>
    <row r="373" ht="15.75" customHeight="1">
      <c r="A373" s="145"/>
      <c r="B373" s="145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</row>
    <row r="374" ht="15.75" customHeight="1">
      <c r="A374" s="145"/>
      <c r="B374" s="145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</row>
    <row r="375" ht="15.75" customHeight="1">
      <c r="A375" s="145"/>
      <c r="B375" s="145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</row>
    <row r="376" ht="15.75" customHeight="1">
      <c r="A376" s="145"/>
      <c r="B376" s="145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</row>
    <row r="377" ht="15.75" customHeight="1">
      <c r="A377" s="145"/>
      <c r="B377" s="145"/>
      <c r="C377" s="145"/>
      <c r="D377" s="145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</row>
    <row r="378" ht="15.75" customHeight="1">
      <c r="A378" s="145"/>
      <c r="B378" s="145"/>
      <c r="C378" s="145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</row>
    <row r="379" ht="15.75" customHeight="1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</row>
    <row r="380" ht="15.75" customHeight="1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</row>
    <row r="381" ht="15.75" customHeight="1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</row>
    <row r="382" ht="15.75" customHeight="1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</row>
    <row r="383" ht="15.75" customHeight="1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</row>
    <row r="384" ht="15.75" customHeight="1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</row>
    <row r="385" ht="15.75" customHeight="1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</row>
    <row r="386" ht="15.75" customHeight="1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</row>
    <row r="387" ht="15.75" customHeight="1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</row>
    <row r="388" ht="15.75" customHeight="1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</row>
    <row r="389" ht="15.75" customHeight="1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</row>
    <row r="390" ht="15.75" customHeight="1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</row>
    <row r="391" ht="15.75" customHeight="1">
      <c r="A391" s="145"/>
      <c r="B391" s="145"/>
      <c r="C391" s="145"/>
      <c r="D391" s="145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</row>
    <row r="392" ht="15.75" customHeight="1">
      <c r="A392" s="145"/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</row>
    <row r="393" ht="15.75" customHeight="1">
      <c r="A393" s="145"/>
      <c r="B393" s="145"/>
      <c r="C393" s="145"/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</row>
    <row r="394" ht="15.75" customHeight="1">
      <c r="A394" s="145"/>
      <c r="B394" s="145"/>
      <c r="C394" s="145"/>
      <c r="D394" s="145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</row>
    <row r="395" ht="15.75" customHeight="1">
      <c r="A395" s="145"/>
      <c r="B395" s="145"/>
      <c r="C395" s="145"/>
      <c r="D395" s="145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</row>
    <row r="396" ht="15.75" customHeight="1">
      <c r="A396" s="145"/>
      <c r="B396" s="145"/>
      <c r="C396" s="145"/>
      <c r="D396" s="145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</row>
    <row r="397" ht="15.75" customHeight="1">
      <c r="A397" s="145"/>
      <c r="B397" s="145"/>
      <c r="C397" s="145"/>
      <c r="D397" s="145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</row>
    <row r="398" ht="15.75" customHeight="1">
      <c r="A398" s="145"/>
      <c r="B398" s="145"/>
      <c r="C398" s="145"/>
      <c r="D398" s="145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</row>
    <row r="399" ht="15.75" customHeight="1">
      <c r="A399" s="145"/>
      <c r="B399" s="145"/>
      <c r="C399" s="145"/>
      <c r="D399" s="145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</row>
    <row r="400" ht="15.75" customHeight="1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</row>
    <row r="401" ht="15.75" customHeight="1">
      <c r="A401" s="145"/>
      <c r="B401" s="145"/>
      <c r="C401" s="145"/>
      <c r="D401" s="145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</row>
    <row r="402" ht="15.75" customHeight="1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</row>
    <row r="403" ht="15.75" customHeight="1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</row>
    <row r="404" ht="15.75" customHeight="1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</row>
    <row r="405" ht="15.75" customHeight="1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</row>
    <row r="406" ht="15.75" customHeight="1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</row>
    <row r="407" ht="15.75" customHeight="1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</row>
    <row r="408" ht="15.75" customHeight="1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</row>
    <row r="409" ht="15.75" customHeight="1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</row>
    <row r="410" ht="15.75" customHeight="1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</row>
    <row r="411" ht="15.75" customHeight="1">
      <c r="A411" s="145"/>
      <c r="B411" s="145"/>
      <c r="C411" s="145"/>
      <c r="D411" s="145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</row>
    <row r="412" ht="15.75" customHeight="1">
      <c r="A412" s="145"/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</row>
    <row r="413" ht="15.75" customHeight="1">
      <c r="A413" s="145"/>
      <c r="B413" s="145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</row>
    <row r="414" ht="15.75" customHeight="1">
      <c r="A414" s="145"/>
      <c r="B414" s="145"/>
      <c r="C414" s="145"/>
      <c r="D414" s="145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</row>
    <row r="415" ht="15.75" customHeight="1">
      <c r="A415" s="145"/>
      <c r="B415" s="145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</row>
    <row r="416" ht="15.75" customHeight="1">
      <c r="A416" s="145"/>
      <c r="B416" s="145"/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</row>
    <row r="417" ht="15.75" customHeight="1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</row>
    <row r="418" ht="15.75" customHeight="1">
      <c r="A418" s="145"/>
      <c r="B418" s="145"/>
      <c r="C418" s="145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</row>
    <row r="419" ht="15.75" customHeight="1">
      <c r="A419" s="145"/>
      <c r="B419" s="145"/>
      <c r="C419" s="145"/>
      <c r="D419" s="145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</row>
    <row r="420" ht="15.75" customHeight="1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</row>
    <row r="421" ht="15.75" customHeight="1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</row>
    <row r="422" ht="15.75" customHeight="1">
      <c r="A422" s="145"/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</row>
    <row r="423" ht="15.75" customHeight="1">
      <c r="A423" s="145"/>
      <c r="B423" s="145"/>
      <c r="C423" s="145"/>
      <c r="D423" s="145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</row>
    <row r="424" ht="15.75" customHeight="1">
      <c r="A424" s="145"/>
      <c r="B424" s="145"/>
      <c r="C424" s="145"/>
      <c r="D424" s="145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</row>
    <row r="425" ht="15.75" customHeight="1">
      <c r="A425" s="145"/>
      <c r="B425" s="145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</row>
    <row r="426" ht="15.75" customHeight="1">
      <c r="A426" s="145"/>
      <c r="B426" s="145"/>
      <c r="C426" s="145"/>
      <c r="D426" s="145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</row>
    <row r="427" ht="15.75" customHeight="1">
      <c r="A427" s="145"/>
      <c r="B427" s="145"/>
      <c r="C427" s="145"/>
      <c r="D427" s="145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</row>
    <row r="428" ht="15.75" customHeight="1">
      <c r="A428" s="145"/>
      <c r="B428" s="145"/>
      <c r="C428" s="145"/>
      <c r="D428" s="145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</row>
    <row r="429" ht="15.75" customHeight="1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</row>
    <row r="430" ht="15.75" customHeight="1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</row>
    <row r="431" ht="15.75" customHeight="1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</row>
    <row r="432" ht="15.75" customHeight="1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</row>
    <row r="433" ht="15.75" customHeight="1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</row>
    <row r="434" ht="15.75" customHeight="1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</row>
    <row r="435" ht="15.75" customHeight="1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</row>
    <row r="436" ht="15.75" customHeight="1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</row>
    <row r="437" ht="15.75" customHeight="1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</row>
    <row r="438" ht="15.75" customHeight="1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</row>
    <row r="439" ht="15.75" customHeight="1">
      <c r="A439" s="145"/>
      <c r="B439" s="145"/>
      <c r="C439" s="145"/>
      <c r="D439" s="145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</row>
    <row r="440" ht="15.75" customHeight="1">
      <c r="A440" s="145"/>
      <c r="B440" s="145"/>
      <c r="C440" s="145"/>
      <c r="D440" s="145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</row>
    <row r="441" ht="15.75" customHeight="1">
      <c r="A441" s="145"/>
      <c r="B441" s="145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</row>
    <row r="442" ht="15.75" customHeight="1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</row>
    <row r="443" ht="15.75" customHeight="1">
      <c r="A443" s="145"/>
      <c r="B443" s="145"/>
      <c r="C443" s="145"/>
      <c r="D443" s="145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</row>
    <row r="444" ht="15.75" customHeight="1">
      <c r="A444" s="145"/>
      <c r="B444" s="145"/>
      <c r="C444" s="145"/>
      <c r="D444" s="145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</row>
    <row r="445" ht="15.75" customHeight="1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</row>
    <row r="446" ht="15.75" customHeight="1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</row>
    <row r="447" ht="15.75" customHeight="1">
      <c r="A447" s="145"/>
      <c r="B447" s="145"/>
      <c r="C447" s="145"/>
      <c r="D447" s="145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</row>
    <row r="448" ht="15.75" customHeight="1">
      <c r="A448" s="145"/>
      <c r="B448" s="145"/>
      <c r="C448" s="145"/>
      <c r="D448" s="145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</row>
    <row r="449" ht="15.75" customHeight="1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</row>
    <row r="450" ht="15.75" customHeight="1">
      <c r="A450" s="145"/>
      <c r="B450" s="145"/>
      <c r="C450" s="145"/>
      <c r="D450" s="145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</row>
    <row r="451" ht="15.75" customHeight="1">
      <c r="A451" s="145"/>
      <c r="B451" s="145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</row>
    <row r="452" ht="15.75" customHeight="1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</row>
    <row r="453" ht="15.75" customHeight="1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</row>
    <row r="454" ht="15.75" customHeight="1">
      <c r="A454" s="145"/>
      <c r="B454" s="145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</row>
    <row r="455" ht="15.75" customHeight="1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</row>
    <row r="456" ht="15.75" customHeight="1">
      <c r="A456" s="145"/>
      <c r="B456" s="145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</row>
    <row r="457" ht="15.75" customHeight="1">
      <c r="A457" s="145"/>
      <c r="B457" s="145"/>
      <c r="C457" s="145"/>
      <c r="D457" s="145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</row>
    <row r="458" ht="15.75" customHeight="1">
      <c r="A458" s="145"/>
      <c r="B458" s="145"/>
      <c r="C458" s="145"/>
      <c r="D458" s="145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</row>
    <row r="459" ht="15.75" customHeight="1">
      <c r="A459" s="145"/>
      <c r="B459" s="145"/>
      <c r="C459" s="145"/>
      <c r="D459" s="145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</row>
    <row r="460" ht="15.75" customHeight="1">
      <c r="A460" s="145"/>
      <c r="B460" s="145"/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</row>
    <row r="461" ht="15.75" customHeight="1">
      <c r="A461" s="145"/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</row>
    <row r="462" ht="15.75" customHeight="1">
      <c r="A462" s="145"/>
      <c r="B462" s="145"/>
      <c r="C462" s="145"/>
      <c r="D462" s="145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</row>
    <row r="463" ht="15.75" customHeight="1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</row>
    <row r="464" ht="15.75" customHeight="1">
      <c r="A464" s="145"/>
      <c r="B464" s="145"/>
      <c r="C464" s="145"/>
      <c r="D464" s="145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</row>
    <row r="465" ht="15.75" customHeight="1">
      <c r="A465" s="145"/>
      <c r="B465" s="145"/>
      <c r="C465" s="145"/>
      <c r="D465" s="145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</row>
    <row r="466" ht="15.75" customHeight="1">
      <c r="A466" s="145"/>
      <c r="B466" s="145"/>
      <c r="C466" s="145"/>
      <c r="D466" s="145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</row>
    <row r="467" ht="15.75" customHeight="1">
      <c r="A467" s="145"/>
      <c r="B467" s="145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</row>
    <row r="468" ht="15.75" customHeight="1">
      <c r="A468" s="145"/>
      <c r="B468" s="145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</row>
    <row r="469" ht="15.75" customHeight="1">
      <c r="A469" s="145"/>
      <c r="B469" s="145"/>
      <c r="C469" s="145"/>
      <c r="D469" s="145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</row>
    <row r="470" ht="15.75" customHeight="1">
      <c r="A470" s="145"/>
      <c r="B470" s="145"/>
      <c r="C470" s="145"/>
      <c r="D470" s="145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</row>
    <row r="471" ht="15.75" customHeight="1">
      <c r="A471" s="145"/>
      <c r="B471" s="145"/>
      <c r="C471" s="145"/>
      <c r="D471" s="145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</row>
    <row r="472" ht="15.75" customHeight="1">
      <c r="A472" s="145"/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</row>
    <row r="473" ht="15.75" customHeight="1">
      <c r="A473" s="145"/>
      <c r="B473" s="145"/>
      <c r="C473" s="145"/>
      <c r="D473" s="145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</row>
    <row r="474" ht="15.75" customHeight="1">
      <c r="A474" s="145"/>
      <c r="B474" s="145"/>
      <c r="C474" s="145"/>
      <c r="D474" s="145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</row>
    <row r="475" ht="15.75" customHeight="1">
      <c r="A475" s="145"/>
      <c r="B475" s="145"/>
      <c r="C475" s="145"/>
      <c r="D475" s="145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</row>
    <row r="476" ht="15.75" customHeight="1">
      <c r="A476" s="145"/>
      <c r="B476" s="145"/>
      <c r="C476" s="145"/>
      <c r="D476" s="145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</row>
    <row r="477" ht="15.75" customHeight="1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</row>
    <row r="478" ht="15.75" customHeight="1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</row>
    <row r="479" ht="15.75" customHeight="1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</row>
    <row r="480" ht="15.75" customHeight="1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</row>
    <row r="481" ht="15.75" customHeight="1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</row>
    <row r="482" ht="15.75" customHeight="1">
      <c r="A482" s="145"/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</row>
    <row r="483" ht="15.75" customHeight="1">
      <c r="A483" s="145"/>
      <c r="B483" s="145"/>
      <c r="C483" s="145"/>
      <c r="D483" s="145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</row>
    <row r="484" ht="15.75" customHeight="1">
      <c r="A484" s="145"/>
      <c r="B484" s="145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</row>
    <row r="485" ht="15.75" customHeight="1">
      <c r="A485" s="145"/>
      <c r="B485" s="145"/>
      <c r="C485" s="145"/>
      <c r="D485" s="145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</row>
    <row r="486" ht="15.75" customHeight="1">
      <c r="A486" s="145"/>
      <c r="B486" s="145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</row>
    <row r="487" ht="15.75" customHeight="1">
      <c r="A487" s="145"/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</row>
    <row r="488" ht="15.75" customHeight="1">
      <c r="A488" s="145"/>
      <c r="B488" s="145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</row>
    <row r="489" ht="15.75" customHeight="1">
      <c r="A489" s="145"/>
      <c r="B489" s="145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</row>
    <row r="490" ht="15.75" customHeight="1">
      <c r="A490" s="145"/>
      <c r="B490" s="145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</row>
    <row r="491" ht="15.75" customHeight="1">
      <c r="A491" s="145"/>
      <c r="B491" s="145"/>
      <c r="C491" s="145"/>
      <c r="D491" s="145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</row>
    <row r="492" ht="15.75" customHeight="1">
      <c r="A492" s="145"/>
      <c r="B492" s="145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</row>
    <row r="493" ht="15.75" customHeight="1">
      <c r="A493" s="145"/>
      <c r="B493" s="145"/>
      <c r="C493" s="145"/>
      <c r="D493" s="145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</row>
    <row r="494" ht="15.75" customHeight="1">
      <c r="A494" s="145"/>
      <c r="B494" s="145"/>
      <c r="C494" s="145"/>
      <c r="D494" s="145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</row>
    <row r="495" ht="15.75" customHeight="1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</row>
    <row r="496" ht="15.75" customHeight="1">
      <c r="A496" s="145"/>
      <c r="B496" s="145"/>
      <c r="C496" s="145"/>
      <c r="D496" s="145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</row>
    <row r="497" ht="15.75" customHeight="1">
      <c r="A497" s="145"/>
      <c r="B497" s="145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</row>
    <row r="498" ht="15.75" customHeight="1">
      <c r="A498" s="145"/>
      <c r="B498" s="145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</row>
    <row r="499" ht="15.75" customHeight="1">
      <c r="A499" s="145"/>
      <c r="B499" s="145"/>
      <c r="C499" s="145"/>
      <c r="D499" s="145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</row>
    <row r="500" ht="15.75" customHeight="1">
      <c r="A500" s="145"/>
      <c r="B500" s="145"/>
      <c r="C500" s="145"/>
      <c r="D500" s="145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</row>
    <row r="501" ht="15.75" customHeight="1">
      <c r="A501" s="145"/>
      <c r="B501" s="145"/>
      <c r="C501" s="145"/>
      <c r="D501" s="145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</row>
    <row r="502" ht="15.75" customHeight="1">
      <c r="A502" s="145"/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</row>
    <row r="503" ht="15.75" customHeight="1">
      <c r="A503" s="145"/>
      <c r="B503" s="145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</row>
    <row r="504" ht="15.75" customHeight="1">
      <c r="A504" s="145"/>
      <c r="B504" s="145"/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</row>
    <row r="505" ht="15.75" customHeight="1">
      <c r="A505" s="145"/>
      <c r="B505" s="145"/>
      <c r="C505" s="145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</row>
    <row r="506" ht="15.75" customHeight="1">
      <c r="A506" s="145"/>
      <c r="B506" s="145"/>
      <c r="C506" s="145"/>
      <c r="D506" s="145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</row>
    <row r="507" ht="15.75" customHeight="1">
      <c r="A507" s="145"/>
      <c r="B507" s="145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</row>
    <row r="508" ht="15.75" customHeight="1">
      <c r="A508" s="145"/>
      <c r="B508" s="145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</row>
    <row r="509" ht="15.75" customHeight="1">
      <c r="A509" s="145"/>
      <c r="B509" s="145"/>
      <c r="C509" s="145"/>
      <c r="D509" s="145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</row>
    <row r="510" ht="15.75" customHeight="1">
      <c r="A510" s="145"/>
      <c r="B510" s="145"/>
      <c r="C510" s="145"/>
      <c r="D510" s="145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</row>
    <row r="511" ht="15.75" customHeight="1">
      <c r="A511" s="145"/>
      <c r="B511" s="145"/>
      <c r="C511" s="145"/>
      <c r="D511" s="145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</row>
    <row r="512" ht="15.75" customHeight="1">
      <c r="A512" s="145"/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</row>
    <row r="513" ht="15.75" customHeight="1">
      <c r="A513" s="145"/>
      <c r="B513" s="145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</row>
    <row r="514" ht="15.75" customHeight="1">
      <c r="A514" s="145"/>
      <c r="B514" s="145"/>
      <c r="C514" s="145"/>
      <c r="D514" s="145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</row>
    <row r="515" ht="15.75" customHeight="1">
      <c r="A515" s="145"/>
      <c r="B515" s="145"/>
      <c r="C515" s="145"/>
      <c r="D515" s="145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</row>
    <row r="516" ht="15.75" customHeight="1">
      <c r="A516" s="145"/>
      <c r="B516" s="145"/>
      <c r="C516" s="145"/>
      <c r="D516" s="145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</row>
    <row r="517" ht="15.75" customHeight="1">
      <c r="A517" s="145"/>
      <c r="B517" s="145"/>
      <c r="C517" s="145"/>
      <c r="D517" s="145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</row>
    <row r="518" ht="15.75" customHeight="1">
      <c r="A518" s="145"/>
      <c r="B518" s="145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</row>
    <row r="519" ht="15.75" customHeight="1">
      <c r="A519" s="145"/>
      <c r="B519" s="145"/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</row>
    <row r="520" ht="15.75" customHeight="1">
      <c r="A520" s="145"/>
      <c r="B520" s="145"/>
      <c r="C520" s="145"/>
      <c r="D520" s="145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</row>
    <row r="521" ht="15.75" customHeight="1">
      <c r="A521" s="145"/>
      <c r="B521" s="145"/>
      <c r="C521" s="145"/>
      <c r="D521" s="145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</row>
    <row r="522" ht="15.75" customHeight="1">
      <c r="A522" s="145"/>
      <c r="B522" s="145"/>
      <c r="C522" s="145"/>
      <c r="D522" s="145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</row>
    <row r="523" ht="15.75" customHeight="1">
      <c r="A523" s="145"/>
      <c r="B523" s="145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</row>
    <row r="524" ht="15.75" customHeight="1">
      <c r="A524" s="145"/>
      <c r="B524" s="145"/>
      <c r="C524" s="145"/>
      <c r="D524" s="145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</row>
    <row r="525" ht="15.75" customHeight="1">
      <c r="A525" s="145"/>
      <c r="B525" s="145"/>
      <c r="C525" s="145"/>
      <c r="D525" s="145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</row>
    <row r="526" ht="15.75" customHeight="1">
      <c r="A526" s="145"/>
      <c r="B526" s="145"/>
      <c r="C526" s="145"/>
      <c r="D526" s="145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</row>
    <row r="527" ht="15.75" customHeight="1">
      <c r="A527" s="145"/>
      <c r="B527" s="145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 ht="15.75" customHeight="1">
      <c r="A528" s="145"/>
      <c r="B528" s="145"/>
      <c r="C528" s="145"/>
      <c r="D528" s="145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</row>
    <row r="529" ht="15.75" customHeight="1">
      <c r="A529" s="145"/>
      <c r="B529" s="145"/>
      <c r="C529" s="145"/>
      <c r="D529" s="145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</row>
    <row r="530" ht="15.75" customHeight="1">
      <c r="A530" s="145"/>
      <c r="B530" s="145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</row>
    <row r="531" ht="15.75" customHeight="1">
      <c r="A531" s="145"/>
      <c r="B531" s="145"/>
      <c r="C531" s="145"/>
      <c r="D531" s="145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</row>
    <row r="532" ht="15.75" customHeight="1">
      <c r="A532" s="145"/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</row>
    <row r="533" ht="15.75" customHeight="1">
      <c r="A533" s="145"/>
      <c r="B533" s="145"/>
      <c r="C533" s="145"/>
      <c r="D533" s="145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</row>
    <row r="534" ht="15.75" customHeight="1">
      <c r="A534" s="145"/>
      <c r="B534" s="145"/>
      <c r="C534" s="145"/>
      <c r="D534" s="145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</row>
    <row r="535" ht="15.75" customHeight="1">
      <c r="A535" s="145"/>
      <c r="B535" s="145"/>
      <c r="C535" s="145"/>
      <c r="D535" s="145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</row>
    <row r="536" ht="15.75" customHeight="1">
      <c r="A536" s="145"/>
      <c r="B536" s="145"/>
      <c r="C536" s="145"/>
      <c r="D536" s="145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</row>
    <row r="537" ht="15.75" customHeight="1">
      <c r="A537" s="145"/>
      <c r="B537" s="145"/>
      <c r="C537" s="145"/>
      <c r="D537" s="145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</row>
    <row r="538" ht="15.75" customHeight="1">
      <c r="A538" s="145"/>
      <c r="B538" s="145"/>
      <c r="C538" s="145"/>
      <c r="D538" s="145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</row>
    <row r="539" ht="15.75" customHeight="1">
      <c r="A539" s="145"/>
      <c r="B539" s="145"/>
      <c r="C539" s="145"/>
      <c r="D539" s="145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</row>
    <row r="540" ht="15.75" customHeight="1">
      <c r="A540" s="145"/>
      <c r="B540" s="145"/>
      <c r="C540" s="145"/>
      <c r="D540" s="145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</row>
    <row r="541" ht="15.75" customHeight="1">
      <c r="A541" s="145"/>
      <c r="B541" s="145"/>
      <c r="C541" s="145"/>
      <c r="D541" s="145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</row>
    <row r="542" ht="15.75" customHeight="1">
      <c r="A542" s="145"/>
      <c r="B542" s="145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</row>
    <row r="543" ht="15.75" customHeight="1">
      <c r="A543" s="145"/>
      <c r="B543" s="145"/>
      <c r="C543" s="145"/>
      <c r="D543" s="145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</row>
    <row r="544" ht="15.75" customHeight="1">
      <c r="A544" s="145"/>
      <c r="B544" s="145"/>
      <c r="C544" s="145"/>
      <c r="D544" s="145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</row>
    <row r="545" ht="15.75" customHeight="1">
      <c r="A545" s="145"/>
      <c r="B545" s="145"/>
      <c r="C545" s="145"/>
      <c r="D545" s="145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</row>
    <row r="546" ht="15.75" customHeight="1">
      <c r="A546" s="145"/>
      <c r="B546" s="145"/>
      <c r="C546" s="145"/>
      <c r="D546" s="145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</row>
    <row r="547" ht="15.75" customHeight="1">
      <c r="A547" s="145"/>
      <c r="B547" s="145"/>
      <c r="C547" s="145"/>
      <c r="D547" s="145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</row>
    <row r="548" ht="15.75" customHeight="1">
      <c r="A548" s="145"/>
      <c r="B548" s="145"/>
      <c r="C548" s="145"/>
      <c r="D548" s="145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</row>
    <row r="549" ht="15.75" customHeight="1">
      <c r="A549" s="145"/>
      <c r="B549" s="145"/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</row>
    <row r="550" ht="15.75" customHeight="1">
      <c r="A550" s="145"/>
      <c r="B550" s="145"/>
      <c r="C550" s="145"/>
      <c r="D550" s="145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</row>
    <row r="551" ht="15.75" customHeight="1">
      <c r="A551" s="145"/>
      <c r="B551" s="145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 ht="15.75" customHeight="1">
      <c r="A552" s="145"/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</row>
    <row r="553" ht="15.75" customHeight="1">
      <c r="A553" s="145"/>
      <c r="B553" s="145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</row>
    <row r="554" ht="15.75" customHeight="1">
      <c r="A554" s="145"/>
      <c r="B554" s="145"/>
      <c r="C554" s="145"/>
      <c r="D554" s="145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</row>
    <row r="555" ht="15.75" customHeight="1">
      <c r="A555" s="145"/>
      <c r="B555" s="145"/>
      <c r="C555" s="145"/>
      <c r="D555" s="145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</row>
    <row r="556" ht="15.75" customHeight="1">
      <c r="A556" s="145"/>
      <c r="B556" s="145"/>
      <c r="C556" s="145"/>
      <c r="D556" s="145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</row>
    <row r="557" ht="15.75" customHeight="1">
      <c r="A557" s="145"/>
      <c r="B557" s="145"/>
      <c r="C557" s="145"/>
      <c r="D557" s="145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</row>
    <row r="558" ht="15.75" customHeight="1">
      <c r="A558" s="145"/>
      <c r="B558" s="145"/>
      <c r="C558" s="145"/>
      <c r="D558" s="145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</row>
    <row r="559" ht="15.75" customHeight="1">
      <c r="A559" s="145"/>
      <c r="B559" s="145"/>
      <c r="C559" s="145"/>
      <c r="D559" s="145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</row>
    <row r="560" ht="15.75" customHeight="1">
      <c r="A560" s="145"/>
      <c r="B560" s="145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</row>
    <row r="561" ht="15.75" customHeight="1">
      <c r="A561" s="145"/>
      <c r="B561" s="145"/>
      <c r="C561" s="145"/>
      <c r="D561" s="145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</row>
    <row r="562" ht="15.75" customHeight="1">
      <c r="A562" s="145"/>
      <c r="B562" s="145"/>
      <c r="C562" s="145"/>
      <c r="D562" s="145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</row>
    <row r="563" ht="15.75" customHeight="1">
      <c r="A563" s="145"/>
      <c r="B563" s="145"/>
      <c r="C563" s="145"/>
      <c r="D563" s="145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</row>
    <row r="564" ht="15.75" customHeight="1">
      <c r="A564" s="145"/>
      <c r="B564" s="145"/>
      <c r="C564" s="145"/>
      <c r="D564" s="145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</row>
    <row r="565" ht="15.75" customHeight="1">
      <c r="A565" s="145"/>
      <c r="B565" s="145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</row>
    <row r="566" ht="15.75" customHeight="1">
      <c r="A566" s="145"/>
      <c r="B566" s="145"/>
      <c r="C566" s="145"/>
      <c r="D566" s="145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</row>
    <row r="567" ht="15.75" customHeight="1">
      <c r="A567" s="145"/>
      <c r="B567" s="145"/>
      <c r="C567" s="145"/>
      <c r="D567" s="145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</row>
    <row r="568" ht="15.75" customHeight="1">
      <c r="A568" s="145"/>
      <c r="B568" s="145"/>
      <c r="C568" s="145"/>
      <c r="D568" s="145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</row>
    <row r="569" ht="15.75" customHeight="1">
      <c r="A569" s="145"/>
      <c r="B569" s="145"/>
      <c r="C569" s="145"/>
      <c r="D569" s="145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</row>
    <row r="570" ht="15.75" customHeight="1">
      <c r="A570" s="145"/>
      <c r="B570" s="145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</row>
    <row r="571" ht="15.75" customHeight="1">
      <c r="A571" s="145"/>
      <c r="B571" s="145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 ht="15.75" customHeight="1">
      <c r="A572" s="145"/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</row>
    <row r="573" ht="15.75" customHeight="1">
      <c r="A573" s="145"/>
      <c r="B573" s="145"/>
      <c r="C573" s="145"/>
      <c r="D573" s="145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</row>
    <row r="574" ht="15.75" customHeight="1">
      <c r="A574" s="145"/>
      <c r="B574" s="145"/>
      <c r="C574" s="145"/>
      <c r="D574" s="145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</row>
    <row r="575" ht="15.75" customHeight="1">
      <c r="A575" s="145"/>
      <c r="B575" s="145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</row>
    <row r="576" ht="15.75" customHeight="1">
      <c r="A576" s="145"/>
      <c r="B576" s="145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</row>
    <row r="577" ht="15.75" customHeight="1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</row>
    <row r="578" ht="15.75" customHeight="1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</row>
    <row r="579" ht="15.75" customHeight="1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</row>
    <row r="580" ht="15.75" customHeight="1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</row>
    <row r="581" ht="15.75" customHeight="1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</row>
    <row r="582" ht="15.75" customHeight="1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</row>
    <row r="583" ht="15.75" customHeight="1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</row>
    <row r="584" ht="15.75" customHeight="1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</row>
    <row r="585" ht="15.75" customHeight="1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</row>
    <row r="586" ht="15.75" customHeight="1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</row>
    <row r="587" ht="15.75" customHeight="1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</row>
    <row r="588" ht="15.75" customHeight="1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</row>
    <row r="589" ht="15.75" customHeight="1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</row>
    <row r="590" ht="15.75" customHeight="1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</row>
    <row r="591" ht="15.75" customHeight="1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</row>
    <row r="592" ht="15.75" customHeight="1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</row>
    <row r="593" ht="15.75" customHeight="1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</row>
    <row r="594" ht="15.75" customHeight="1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</row>
    <row r="595" ht="15.75" customHeight="1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</row>
    <row r="596" ht="15.75" customHeight="1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</row>
    <row r="597" ht="15.75" customHeight="1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</row>
    <row r="598" ht="15.75" customHeight="1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</row>
    <row r="599" ht="15.75" customHeight="1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</row>
    <row r="600" ht="15.75" customHeight="1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</row>
    <row r="601" ht="15.75" customHeight="1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</row>
    <row r="602" ht="15.75" customHeight="1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</row>
    <row r="603" ht="15.75" customHeight="1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</row>
    <row r="604" ht="15.75" customHeight="1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</row>
    <row r="605" ht="15.75" customHeight="1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</row>
    <row r="606" ht="15.75" customHeight="1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</row>
    <row r="607" ht="15.75" customHeight="1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</row>
    <row r="608" ht="15.75" customHeight="1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</row>
    <row r="609" ht="15.75" customHeight="1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</row>
    <row r="610" ht="15.75" customHeight="1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</row>
    <row r="611" ht="15.75" customHeight="1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</row>
    <row r="612" ht="15.75" customHeight="1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</row>
    <row r="613" ht="15.75" customHeight="1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 ht="15.75" customHeight="1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 ht="15.75" customHeight="1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 ht="15.75" customHeight="1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 ht="15.75" customHeight="1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 ht="15.75" customHeight="1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 ht="15.75" customHeight="1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 ht="15.75" customHeight="1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 ht="15.75" customHeight="1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 ht="15.75" customHeight="1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 ht="15.75" customHeight="1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 ht="15.75" customHeight="1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 ht="15.75" customHeight="1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 ht="15.75" customHeight="1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 ht="15.75" customHeight="1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 ht="15.75" customHeight="1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 ht="15.75" customHeight="1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 ht="15.75" customHeight="1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 ht="15.75" customHeight="1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 ht="15.75" customHeight="1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 ht="15.75" customHeight="1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 ht="15.75" customHeight="1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 ht="15.75" customHeight="1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 ht="15.75" customHeight="1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 ht="15.75" customHeight="1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 ht="15.75" customHeight="1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 ht="15.75" customHeight="1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 ht="15.75" customHeight="1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 ht="15.75" customHeight="1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 ht="15.75" customHeight="1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 ht="15.75" customHeight="1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 ht="15.75" customHeight="1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 ht="15.75" customHeight="1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 ht="15.75" customHeight="1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 ht="15.75" customHeight="1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 ht="15.75" customHeight="1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 ht="15.75" customHeight="1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 ht="15.75" customHeight="1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 ht="15.75" customHeight="1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 ht="15.75" customHeight="1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 ht="15.75" customHeight="1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 ht="15.75" customHeight="1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 ht="15.75" customHeight="1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 ht="15.75" customHeight="1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 ht="15.75" customHeight="1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 ht="15.75" customHeight="1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 ht="15.75" customHeight="1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 ht="15.75" customHeight="1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 ht="15.75" customHeight="1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 ht="15.75" customHeight="1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 ht="15.75" customHeight="1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 ht="15.75" customHeight="1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 ht="15.75" customHeight="1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 ht="15.75" customHeight="1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 ht="15.75" customHeight="1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 ht="15.75" customHeight="1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 ht="15.75" customHeight="1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 ht="15.75" customHeight="1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 ht="15.75" customHeight="1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 ht="15.75" customHeight="1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 ht="15.75" customHeight="1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 ht="15.75" customHeight="1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 ht="15.75" customHeight="1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 ht="15.75" customHeight="1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 ht="15.75" customHeight="1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 ht="15.75" customHeight="1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 ht="15.75" customHeight="1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 ht="15.75" customHeight="1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 ht="15.75" customHeight="1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 ht="15.75" customHeight="1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 ht="15.75" customHeight="1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 ht="15.75" customHeight="1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 ht="15.75" customHeight="1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 ht="15.75" customHeight="1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 ht="15.75" customHeight="1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 ht="15.75" customHeight="1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 ht="15.75" customHeight="1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 ht="15.75" customHeight="1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 ht="15.75" customHeight="1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 ht="15.75" customHeight="1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 ht="15.75" customHeight="1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 ht="15.75" customHeight="1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 ht="15.75" customHeight="1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 ht="15.75" customHeight="1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 ht="15.75" customHeight="1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 ht="15.75" customHeight="1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 ht="15.75" customHeight="1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 ht="15.75" customHeight="1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 ht="15.75" customHeight="1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 ht="15.75" customHeight="1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 ht="15.75" customHeight="1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 ht="15.75" customHeight="1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 ht="15.75" customHeight="1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 ht="15.75" customHeight="1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 ht="15.75" customHeight="1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 ht="15.75" customHeight="1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 ht="15.75" customHeight="1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 ht="15.75" customHeight="1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 ht="15.75" customHeight="1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 ht="15.75" customHeight="1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 ht="15.75" customHeight="1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 ht="15.75" customHeight="1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 ht="15.75" customHeight="1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 ht="15.75" customHeight="1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 ht="15.75" customHeight="1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 ht="15.75" customHeight="1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 ht="15.75" customHeight="1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 ht="15.75" customHeight="1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 ht="15.75" customHeight="1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 ht="15.75" customHeight="1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 ht="15.75" customHeight="1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 ht="15.75" customHeight="1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 ht="15.75" customHeight="1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 ht="15.75" customHeight="1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 ht="15.75" customHeight="1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 ht="15.75" customHeight="1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 ht="15.75" customHeight="1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 ht="15.75" customHeight="1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 ht="15.75" customHeight="1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 ht="15.75" customHeight="1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 ht="15.75" customHeight="1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 ht="15.75" customHeight="1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 ht="15.75" customHeight="1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 ht="15.75" customHeight="1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 ht="15.75" customHeight="1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 ht="15.75" customHeight="1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 ht="15.75" customHeight="1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 ht="15.75" customHeight="1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 ht="15.75" customHeight="1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 ht="15.75" customHeight="1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 ht="15.75" customHeight="1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 ht="15.75" customHeight="1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 ht="15.75" customHeight="1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 ht="15.75" customHeight="1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</row>
    <row r="747" ht="15.75" customHeight="1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</row>
    <row r="748" ht="15.75" customHeight="1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</row>
    <row r="749" ht="15.75" customHeight="1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 ht="15.75" customHeight="1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 ht="15.75" customHeight="1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 ht="15.75" customHeight="1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 ht="15.75" customHeight="1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 ht="15.75" customHeight="1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 ht="15.75" customHeight="1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 ht="15.75" customHeight="1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 ht="15.75" customHeight="1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 ht="15.75" customHeight="1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 ht="15.75" customHeight="1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 ht="15.75" customHeight="1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 ht="15.75" customHeight="1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 ht="15.75" customHeight="1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 ht="15.75" customHeight="1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 ht="15.75" customHeight="1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 ht="15.75" customHeight="1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 ht="15.75" customHeight="1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 ht="15.75" customHeight="1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 ht="15.75" customHeight="1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 ht="15.75" customHeight="1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 ht="15.75" customHeight="1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 ht="15.75" customHeight="1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 ht="15.75" customHeight="1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 ht="15.75" customHeight="1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 ht="15.75" customHeight="1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  <row r="775" ht="15.75" customHeight="1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</row>
    <row r="776" ht="15.75" customHeight="1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</row>
    <row r="777" ht="15.75" customHeight="1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</row>
    <row r="778" ht="15.75" customHeight="1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</row>
    <row r="779" ht="15.75" customHeight="1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</row>
    <row r="780" ht="15.75" customHeight="1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</row>
    <row r="781" ht="15.75" customHeight="1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</row>
    <row r="782" ht="15.75" customHeight="1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</row>
    <row r="783" ht="15.75" customHeight="1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</row>
    <row r="784" ht="15.75" customHeight="1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</row>
    <row r="785" ht="15.75" customHeight="1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</row>
    <row r="786" ht="15.75" customHeight="1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</row>
    <row r="787" ht="15.75" customHeight="1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</row>
    <row r="788" ht="15.75" customHeight="1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</row>
    <row r="789" ht="15.75" customHeight="1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</row>
    <row r="790" ht="15.75" customHeight="1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</row>
    <row r="791" ht="15.75" customHeight="1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</row>
    <row r="792" ht="15.75" customHeight="1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</row>
    <row r="793" ht="15.75" customHeight="1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</row>
    <row r="794" ht="15.75" customHeight="1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</row>
    <row r="795" ht="15.75" customHeight="1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</row>
    <row r="796" ht="15.75" customHeight="1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</row>
    <row r="797" ht="15.75" customHeight="1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</row>
    <row r="798" ht="15.75" customHeight="1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</row>
    <row r="799" ht="15.75" customHeight="1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</row>
    <row r="800" ht="15.75" customHeight="1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</row>
    <row r="801" ht="15.75" customHeight="1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</row>
    <row r="802" ht="15.75" customHeight="1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</row>
    <row r="803" ht="15.75" customHeight="1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</row>
    <row r="804" ht="15.75" customHeight="1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</row>
    <row r="805" ht="15.75" customHeight="1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</row>
    <row r="806" ht="15.75" customHeight="1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</row>
    <row r="807" ht="15.75" customHeight="1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</row>
    <row r="808" ht="15.75" customHeight="1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</row>
    <row r="809" ht="15.75" customHeight="1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</row>
    <row r="810" ht="15.75" customHeight="1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</row>
    <row r="811" ht="15.75" customHeight="1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</row>
    <row r="812" ht="15.75" customHeight="1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</row>
    <row r="813" ht="15.75" customHeight="1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</row>
    <row r="814" ht="15.75" customHeight="1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</row>
    <row r="815" ht="15.75" customHeight="1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</row>
    <row r="816" ht="15.75" customHeight="1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</row>
    <row r="817" ht="15.75" customHeight="1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</row>
    <row r="818" ht="15.75" customHeight="1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</row>
    <row r="819" ht="15.75" customHeight="1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</row>
    <row r="820" ht="15.75" customHeight="1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</row>
    <row r="821" ht="15.75" customHeight="1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</row>
    <row r="822" ht="15.75" customHeight="1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</row>
    <row r="823" ht="15.75" customHeight="1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</row>
    <row r="824" ht="15.75" customHeight="1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</row>
    <row r="825" ht="15.75" customHeight="1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</row>
    <row r="826" ht="15.75" customHeight="1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</row>
    <row r="827" ht="15.75" customHeight="1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</row>
    <row r="828" ht="15.75" customHeight="1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</row>
    <row r="829" ht="15.75" customHeight="1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</row>
    <row r="830" ht="15.75" customHeight="1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</row>
    <row r="831" ht="15.75" customHeight="1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</row>
    <row r="832" ht="15.75" customHeight="1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</row>
    <row r="833" ht="15.75" customHeight="1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</row>
    <row r="834" ht="15.75" customHeight="1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</row>
    <row r="835" ht="15.75" customHeight="1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</row>
    <row r="836" ht="15.75" customHeight="1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</row>
    <row r="837" ht="15.75" customHeight="1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</row>
    <row r="838" ht="15.75" customHeight="1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</row>
    <row r="839" ht="15.75" customHeight="1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</row>
    <row r="840" ht="15.75" customHeight="1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</row>
    <row r="841" ht="15.75" customHeight="1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</row>
    <row r="842" ht="15.75" customHeight="1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</row>
    <row r="843" ht="15.75" customHeight="1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</row>
    <row r="844" ht="15.75" customHeight="1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</row>
    <row r="845" ht="15.75" customHeight="1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</row>
    <row r="846" ht="15.75" customHeight="1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</row>
    <row r="847" ht="15.75" customHeight="1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</row>
    <row r="848" ht="15.75" customHeight="1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</row>
    <row r="849" ht="15.75" customHeight="1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</row>
    <row r="850" ht="15.75" customHeight="1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</row>
    <row r="851" ht="15.75" customHeight="1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</row>
    <row r="852" ht="15.75" customHeight="1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</row>
    <row r="853" ht="15.75" customHeight="1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</row>
    <row r="854" ht="15.75" customHeight="1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</row>
    <row r="855" ht="15.75" customHeight="1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</row>
    <row r="856" ht="15.75" customHeight="1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</row>
    <row r="857" ht="15.75" customHeight="1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</row>
    <row r="858" ht="15.75" customHeight="1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</row>
    <row r="859" ht="15.75" customHeight="1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</row>
    <row r="860" ht="15.75" customHeight="1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</row>
    <row r="861" ht="15.75" customHeight="1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</row>
    <row r="862" ht="15.75" customHeight="1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</row>
    <row r="863" ht="15.75" customHeight="1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</row>
    <row r="864" ht="15.75" customHeight="1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</row>
    <row r="865" ht="15.75" customHeight="1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</row>
    <row r="866" ht="15.75" customHeight="1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</row>
    <row r="867" ht="15.75" customHeight="1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</row>
    <row r="868" ht="15.75" customHeight="1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</row>
    <row r="869" ht="15.75" customHeight="1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</row>
    <row r="870" ht="15.75" customHeight="1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</row>
    <row r="871" ht="15.75" customHeight="1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</row>
    <row r="872" ht="15.75" customHeight="1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</row>
    <row r="873" ht="15.75" customHeight="1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</row>
    <row r="874" ht="15.75" customHeight="1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</row>
    <row r="875" ht="15.75" customHeight="1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</row>
    <row r="876" ht="15.75" customHeight="1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</row>
    <row r="877" ht="15.75" customHeight="1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</row>
    <row r="878" ht="15.75" customHeight="1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</row>
    <row r="879" ht="15.75" customHeight="1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</row>
    <row r="880" ht="15.75" customHeight="1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</row>
    <row r="881" ht="15.75" customHeight="1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</row>
    <row r="882" ht="15.75" customHeight="1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</row>
    <row r="883" ht="15.75" customHeight="1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</row>
    <row r="884" ht="15.75" customHeight="1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</row>
    <row r="885" ht="15.75" customHeight="1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</row>
    <row r="886" ht="15.75" customHeight="1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</row>
    <row r="887" ht="15.75" customHeight="1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</row>
    <row r="888" ht="15.75" customHeight="1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</row>
    <row r="889" ht="15.75" customHeight="1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</row>
    <row r="890" ht="15.75" customHeight="1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</row>
    <row r="891" ht="15.75" customHeight="1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</row>
    <row r="892" ht="15.75" customHeight="1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</row>
    <row r="893" ht="15.75" customHeight="1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</row>
    <row r="894" ht="15.75" customHeight="1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</row>
    <row r="895" ht="15.75" customHeight="1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</row>
    <row r="896" ht="15.75" customHeight="1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</row>
    <row r="897" ht="15.75" customHeight="1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</row>
    <row r="898" ht="15.75" customHeight="1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</row>
    <row r="899" ht="15.75" customHeight="1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</row>
    <row r="900" ht="15.75" customHeight="1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</row>
    <row r="901" ht="15.75" customHeight="1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</row>
    <row r="902" ht="15.75" customHeight="1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</row>
    <row r="903" ht="15.75" customHeight="1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</row>
    <row r="904" ht="15.75" customHeight="1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</row>
    <row r="905" ht="15.75" customHeight="1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</row>
    <row r="906" ht="15.75" customHeight="1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</row>
    <row r="907" ht="15.75" customHeight="1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</row>
    <row r="908" ht="15.75" customHeight="1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</row>
    <row r="909" ht="15.75" customHeight="1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</row>
    <row r="910" ht="15.75" customHeight="1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</row>
    <row r="911" ht="15.75" customHeight="1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</row>
    <row r="912" ht="15.75" customHeight="1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</row>
    <row r="913" ht="15.75" customHeight="1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</row>
    <row r="914" ht="15.75" customHeight="1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</row>
    <row r="915" ht="15.75" customHeight="1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</row>
    <row r="916" ht="15.75" customHeight="1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</row>
    <row r="917" ht="15.75" customHeight="1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</row>
    <row r="918" ht="15.75" customHeight="1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</row>
    <row r="919" ht="15.75" customHeight="1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</row>
    <row r="920" ht="15.75" customHeight="1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</row>
    <row r="921" ht="15.75" customHeight="1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</row>
    <row r="922" ht="15.75" customHeight="1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</row>
    <row r="923" ht="15.75" customHeight="1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</row>
    <row r="924" ht="15.75" customHeight="1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</row>
    <row r="925" ht="15.75" customHeight="1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</row>
    <row r="926" ht="15.75" customHeight="1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</row>
    <row r="927" ht="15.75" customHeight="1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</row>
    <row r="928" ht="15.75" customHeight="1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</row>
    <row r="929" ht="15.75" customHeight="1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</row>
    <row r="930" ht="15.75" customHeight="1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</row>
    <row r="931" ht="15.75" customHeight="1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</row>
    <row r="932" ht="15.75" customHeight="1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</row>
    <row r="933" ht="15.75" customHeight="1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</row>
    <row r="934" ht="15.75" customHeight="1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</row>
    <row r="935" ht="15.75" customHeight="1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</row>
    <row r="936" ht="15.75" customHeight="1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</row>
    <row r="937" ht="15.75" customHeight="1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</row>
    <row r="938" ht="15.75" customHeight="1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</row>
    <row r="939" ht="15.75" customHeight="1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</row>
    <row r="940" ht="15.75" customHeight="1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</row>
    <row r="941" ht="15.75" customHeight="1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</row>
    <row r="942" ht="15.75" customHeight="1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</row>
    <row r="943" ht="15.75" customHeight="1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</row>
    <row r="944" ht="15.75" customHeight="1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</row>
    <row r="945" ht="15.75" customHeight="1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</row>
    <row r="946" ht="15.75" customHeight="1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</row>
    <row r="947" ht="15.75" customHeight="1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</row>
    <row r="948" ht="15.75" customHeight="1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</row>
    <row r="949" ht="15.75" customHeight="1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</row>
    <row r="950" ht="15.75" customHeight="1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</row>
    <row r="951" ht="15.75" customHeight="1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</row>
    <row r="952" ht="15.75" customHeight="1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</row>
    <row r="953" ht="15.75" customHeight="1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</row>
    <row r="954" ht="15.75" customHeight="1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</row>
    <row r="955" ht="15.75" customHeight="1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</row>
    <row r="956" ht="15.75" customHeight="1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</row>
    <row r="957" ht="15.75" customHeight="1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</row>
    <row r="958" ht="15.75" customHeight="1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</row>
    <row r="959" ht="15.75" customHeight="1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</row>
    <row r="960" ht="15.75" customHeight="1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</row>
    <row r="961" ht="15.75" customHeight="1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</row>
    <row r="962" ht="15.75" customHeight="1">
      <c r="A962" s="145"/>
      <c r="B962" s="145"/>
      <c r="C962" s="145"/>
      <c r="D962" s="145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</row>
    <row r="963" ht="15.75" customHeight="1">
      <c r="A963" s="145"/>
      <c r="B963" s="145"/>
      <c r="C963" s="145"/>
      <c r="D963" s="145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</row>
    <row r="964" ht="15.75" customHeight="1">
      <c r="A964" s="145"/>
      <c r="B964" s="145"/>
      <c r="C964" s="145"/>
      <c r="D964" s="145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</row>
    <row r="965" ht="15.75" customHeight="1">
      <c r="A965" s="145"/>
      <c r="B965" s="145"/>
      <c r="C965" s="145"/>
      <c r="D965" s="145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</row>
    <row r="966" ht="15.75" customHeight="1">
      <c r="A966" s="145"/>
      <c r="B966" s="145"/>
      <c r="C966" s="145"/>
      <c r="D966" s="145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</row>
    <row r="967" ht="15.75" customHeight="1">
      <c r="A967" s="145"/>
      <c r="B967" s="145"/>
      <c r="C967" s="145"/>
      <c r="D967" s="145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</row>
    <row r="968" ht="15.75" customHeight="1">
      <c r="A968" s="145"/>
      <c r="B968" s="145"/>
      <c r="C968" s="145"/>
      <c r="D968" s="145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</row>
    <row r="969" ht="15.75" customHeight="1">
      <c r="A969" s="145"/>
      <c r="B969" s="145"/>
      <c r="C969" s="145"/>
      <c r="D969" s="145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</row>
    <row r="970" ht="15.75" customHeight="1">
      <c r="A970" s="145"/>
      <c r="B970" s="145"/>
      <c r="C970" s="145"/>
      <c r="D970" s="145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</row>
    <row r="971" ht="15.75" customHeight="1">
      <c r="A971" s="145"/>
      <c r="B971" s="145"/>
      <c r="C971" s="145"/>
      <c r="D971" s="145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</row>
    <row r="972" ht="15.75" customHeight="1">
      <c r="A972" s="145"/>
      <c r="B972" s="145"/>
      <c r="C972" s="145"/>
      <c r="D972" s="145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</row>
    <row r="973" ht="15.75" customHeight="1">
      <c r="A973" s="145"/>
      <c r="B973" s="145"/>
      <c r="C973" s="145"/>
      <c r="D973" s="145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</row>
    <row r="974" ht="15.75" customHeight="1">
      <c r="A974" s="145"/>
      <c r="B974" s="145"/>
      <c r="C974" s="145"/>
      <c r="D974" s="145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</row>
    <row r="975" ht="15.75" customHeight="1">
      <c r="A975" s="145"/>
      <c r="B975" s="145"/>
      <c r="C975" s="145"/>
      <c r="D975" s="145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</row>
    <row r="976" ht="15.75" customHeight="1">
      <c r="A976" s="145"/>
      <c r="B976" s="145"/>
      <c r="C976" s="145"/>
      <c r="D976" s="145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</row>
    <row r="977" ht="15.75" customHeight="1">
      <c r="A977" s="145"/>
      <c r="B977" s="145"/>
      <c r="C977" s="145"/>
      <c r="D977" s="145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</row>
    <row r="978" ht="15.75" customHeight="1">
      <c r="A978" s="145"/>
      <c r="B978" s="145"/>
      <c r="C978" s="145"/>
      <c r="D978" s="145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</row>
    <row r="979" ht="15.75" customHeight="1">
      <c r="A979" s="145"/>
      <c r="B979" s="145"/>
      <c r="C979" s="145"/>
      <c r="D979" s="145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</row>
    <row r="980" ht="15.75" customHeight="1">
      <c r="A980" s="145"/>
      <c r="B980" s="145"/>
      <c r="C980" s="145"/>
      <c r="D980" s="145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</row>
    <row r="981" ht="15.75" customHeight="1">
      <c r="A981" s="145"/>
      <c r="B981" s="145"/>
      <c r="C981" s="145"/>
      <c r="D981" s="145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</row>
    <row r="982" ht="15.75" customHeight="1">
      <c r="A982" s="145"/>
      <c r="B982" s="145"/>
      <c r="C982" s="145"/>
      <c r="D982" s="145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</row>
    <row r="983" ht="15.75" customHeight="1">
      <c r="A983" s="145"/>
      <c r="B983" s="145"/>
      <c r="C983" s="145"/>
      <c r="D983" s="145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</row>
    <row r="984" ht="15.75" customHeight="1">
      <c r="A984" s="145"/>
      <c r="B984" s="145"/>
      <c r="C984" s="145"/>
      <c r="D984" s="145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</row>
    <row r="985" ht="15.75" customHeight="1">
      <c r="A985" s="145"/>
      <c r="B985" s="145"/>
      <c r="C985" s="145"/>
      <c r="D985" s="145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</row>
    <row r="986" ht="15.75" customHeight="1">
      <c r="A986" s="145"/>
      <c r="B986" s="145"/>
      <c r="C986" s="145"/>
      <c r="D986" s="145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</row>
    <row r="987" ht="15.75" customHeight="1">
      <c r="A987" s="145"/>
      <c r="B987" s="145"/>
      <c r="C987" s="145"/>
      <c r="D987" s="145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</row>
    <row r="988" ht="15.75" customHeight="1">
      <c r="A988" s="145"/>
      <c r="B988" s="145"/>
      <c r="C988" s="145"/>
      <c r="D988" s="145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</row>
    <row r="989" ht="15.75" customHeight="1">
      <c r="A989" s="145"/>
      <c r="B989" s="145"/>
      <c r="C989" s="145"/>
      <c r="D989" s="145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</row>
    <row r="990" ht="15.75" customHeight="1">
      <c r="A990" s="145"/>
      <c r="B990" s="145"/>
      <c r="C990" s="145"/>
      <c r="D990" s="145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</row>
    <row r="991" ht="15.75" customHeight="1">
      <c r="A991" s="145"/>
      <c r="B991" s="145"/>
      <c r="C991" s="145"/>
      <c r="D991" s="145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</row>
    <row r="992" ht="15.75" customHeight="1">
      <c r="A992" s="145"/>
      <c r="B992" s="145"/>
      <c r="C992" s="145"/>
      <c r="D992" s="145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</row>
    <row r="993" ht="15.75" customHeight="1">
      <c r="A993" s="145"/>
      <c r="B993" s="145"/>
      <c r="C993" s="145"/>
      <c r="D993" s="145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</row>
    <row r="994" ht="15.75" customHeight="1">
      <c r="A994" s="145"/>
      <c r="B994" s="145"/>
      <c r="C994" s="145"/>
      <c r="D994" s="145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</row>
    <row r="995" ht="15.75" customHeight="1">
      <c r="A995" s="145"/>
      <c r="B995" s="145"/>
      <c r="C995" s="145"/>
      <c r="D995" s="145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</row>
    <row r="996" ht="15.75" customHeight="1">
      <c r="A996" s="145"/>
      <c r="B996" s="145"/>
      <c r="C996" s="145"/>
      <c r="D996" s="145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</row>
    <row r="997" ht="15.75" customHeight="1">
      <c r="A997" s="145"/>
      <c r="B997" s="145"/>
      <c r="C997" s="145"/>
      <c r="D997" s="145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</row>
    <row r="998" ht="15.75" customHeight="1">
      <c r="A998" s="145"/>
      <c r="B998" s="145"/>
      <c r="C998" s="145"/>
      <c r="D998" s="145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</row>
    <row r="999" ht="15.75" customHeight="1">
      <c r="A999" s="145"/>
      <c r="B999" s="145"/>
      <c r="C999" s="145"/>
      <c r="D999" s="145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</row>
    <row r="1000" ht="15.75" customHeight="1">
      <c r="A1000" s="145"/>
      <c r="B1000" s="145"/>
      <c r="C1000" s="145"/>
      <c r="D1000" s="145"/>
      <c r="E1000" s="145"/>
      <c r="F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</row>
  </sheetData>
  <mergeCells count="4">
    <mergeCell ref="A1:H1"/>
    <mergeCell ref="A3:H3"/>
    <mergeCell ref="A10:H10"/>
    <mergeCell ref="A18:H1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7" t="s">
        <v>433</v>
      </c>
      <c r="B1" s="197" t="s">
        <v>434</v>
      </c>
      <c r="C1" s="197" t="s">
        <v>435</v>
      </c>
      <c r="D1" s="197" t="s">
        <v>436</v>
      </c>
      <c r="E1" s="197" t="s">
        <v>437</v>
      </c>
      <c r="F1" s="197"/>
    </row>
    <row r="2">
      <c r="A2" s="197" t="s">
        <v>438</v>
      </c>
      <c r="B2" s="197" t="s">
        <v>439</v>
      </c>
      <c r="C2" s="197" t="s">
        <v>440</v>
      </c>
      <c r="D2" s="197" t="s">
        <v>441</v>
      </c>
      <c r="E2" s="197" t="s">
        <v>442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3" width="30.43"/>
    <col customWidth="1" min="4" max="4" width="34.29"/>
    <col customWidth="1" min="5" max="5" width="41.86"/>
    <col customWidth="1" min="6" max="6" width="30.43"/>
    <col customWidth="1" min="7" max="7" width="34.29"/>
    <col customWidth="1" min="8" max="8" width="9.14"/>
    <col customWidth="1" min="9" max="26" width="8.71"/>
  </cols>
  <sheetData>
    <row r="1" ht="45.0" customHeight="1">
      <c r="A1" s="56" t="s">
        <v>443</v>
      </c>
      <c r="B1" s="57"/>
      <c r="C1" s="57"/>
      <c r="D1" s="57"/>
      <c r="E1" s="57"/>
      <c r="F1" s="57"/>
      <c r="G1" s="57"/>
      <c r="H1" s="58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ht="6.0" customHeight="1">
      <c r="A2" s="145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</row>
    <row r="3" ht="32.25" customHeight="1">
      <c r="A3" s="198" t="s">
        <v>444</v>
      </c>
      <c r="B3" s="57"/>
      <c r="C3" s="57"/>
      <c r="D3" s="57"/>
      <c r="E3" s="57"/>
      <c r="F3" s="57"/>
      <c r="G3" s="57"/>
      <c r="H3" s="58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</row>
    <row r="4" ht="27.75" customHeight="1">
      <c r="A4" s="199" t="s">
        <v>239</v>
      </c>
      <c r="B4" s="199" t="s">
        <v>240</v>
      </c>
      <c r="C4" s="199" t="s">
        <v>127</v>
      </c>
      <c r="D4" s="199" t="s">
        <v>243</v>
      </c>
      <c r="E4" s="199" t="s">
        <v>445</v>
      </c>
      <c r="F4" s="199" t="s">
        <v>241</v>
      </c>
      <c r="G4" s="199" t="s">
        <v>446</v>
      </c>
      <c r="H4" s="145" t="s">
        <v>216</v>
      </c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</row>
    <row r="5" ht="39.75" customHeight="1">
      <c r="A5" s="200" t="s">
        <v>244</v>
      </c>
      <c r="B5" s="200" t="s">
        <v>447</v>
      </c>
      <c r="C5" s="200" t="s">
        <v>448</v>
      </c>
      <c r="D5" s="200" t="s">
        <v>449</v>
      </c>
      <c r="E5" s="200" t="s">
        <v>450</v>
      </c>
      <c r="F5" s="200" t="s">
        <v>451</v>
      </c>
      <c r="G5" s="200" t="s">
        <v>452</v>
      </c>
      <c r="H5" s="145" t="s">
        <v>453</v>
      </c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</row>
    <row r="6" ht="39.75" customHeight="1">
      <c r="A6" s="201" t="s">
        <v>245</v>
      </c>
      <c r="B6" s="201" t="s">
        <v>454</v>
      </c>
      <c r="C6" s="201" t="s">
        <v>455</v>
      </c>
      <c r="D6" s="201" t="s">
        <v>456</v>
      </c>
      <c r="E6" s="201" t="s">
        <v>457</v>
      </c>
      <c r="F6" s="201" t="s">
        <v>458</v>
      </c>
      <c r="G6" s="201" t="s">
        <v>459</v>
      </c>
      <c r="H6" s="145" t="s">
        <v>453</v>
      </c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</row>
    <row r="7" ht="39.75" customHeight="1">
      <c r="A7" s="200" t="s">
        <v>246</v>
      </c>
      <c r="B7" s="200" t="s">
        <v>460</v>
      </c>
      <c r="C7" s="200" t="s">
        <v>461</v>
      </c>
      <c r="D7" s="200" t="s">
        <v>462</v>
      </c>
      <c r="E7" s="200" t="s">
        <v>463</v>
      </c>
      <c r="F7" s="200" t="s">
        <v>464</v>
      </c>
      <c r="G7" s="200" t="s">
        <v>465</v>
      </c>
      <c r="H7" s="145" t="s">
        <v>453</v>
      </c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ht="39.75" customHeight="1">
      <c r="A8" s="201" t="s">
        <v>247</v>
      </c>
      <c r="B8" s="201" t="s">
        <v>466</v>
      </c>
      <c r="C8" s="201" t="s">
        <v>467</v>
      </c>
      <c r="D8" s="201" t="s">
        <v>468</v>
      </c>
      <c r="E8" s="201" t="s">
        <v>469</v>
      </c>
      <c r="F8" s="201" t="s">
        <v>470</v>
      </c>
      <c r="G8" s="201" t="s">
        <v>471</v>
      </c>
      <c r="H8" s="145" t="s">
        <v>453</v>
      </c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 ht="39.75" customHeight="1">
      <c r="A9" s="200" t="s">
        <v>248</v>
      </c>
      <c r="B9" s="200" t="s">
        <v>472</v>
      </c>
      <c r="C9" s="200" t="s">
        <v>473</v>
      </c>
      <c r="D9" s="200" t="s">
        <v>474</v>
      </c>
      <c r="E9" s="200" t="s">
        <v>475</v>
      </c>
      <c r="F9" s="200" t="s">
        <v>476</v>
      </c>
      <c r="G9" s="200" t="s">
        <v>477</v>
      </c>
      <c r="H9" s="145" t="s">
        <v>453</v>
      </c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ht="39.75" customHeight="1">
      <c r="A10" s="201" t="s">
        <v>249</v>
      </c>
      <c r="B10" s="201" t="s">
        <v>478</v>
      </c>
      <c r="C10" s="201" t="s">
        <v>479</v>
      </c>
      <c r="D10" s="201" t="s">
        <v>480</v>
      </c>
      <c r="E10" s="201" t="s">
        <v>481</v>
      </c>
      <c r="F10" s="201" t="s">
        <v>482</v>
      </c>
      <c r="G10" s="201" t="s">
        <v>483</v>
      </c>
      <c r="H10" s="145" t="s">
        <v>453</v>
      </c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</row>
    <row r="11" ht="6.0" customHeight="1">
      <c r="A11" s="145"/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ht="32.25" customHeight="1">
      <c r="A12" s="148" t="s">
        <v>484</v>
      </c>
      <c r="B12" s="57"/>
      <c r="C12" s="57"/>
      <c r="D12" s="57"/>
      <c r="E12" s="57"/>
      <c r="F12" s="57"/>
      <c r="G12" s="57"/>
      <c r="H12" s="58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ht="27.75" customHeight="1">
      <c r="A13" s="202" t="s">
        <v>404</v>
      </c>
      <c r="B13" s="202" t="s">
        <v>485</v>
      </c>
      <c r="C13" s="202" t="s">
        <v>486</v>
      </c>
      <c r="D13" s="202" t="s">
        <v>487</v>
      </c>
      <c r="E13" s="202" t="s">
        <v>488</v>
      </c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 ht="45.0" customHeight="1">
      <c r="A14" s="200" t="s">
        <v>489</v>
      </c>
      <c r="B14" s="200" t="s">
        <v>490</v>
      </c>
      <c r="C14" s="200" t="s">
        <v>491</v>
      </c>
      <c r="D14" s="200" t="s">
        <v>492</v>
      </c>
      <c r="E14" s="200" t="s">
        <v>493</v>
      </c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ht="45.0" customHeight="1">
      <c r="A15" s="201" t="s">
        <v>494</v>
      </c>
      <c r="B15" s="201" t="s">
        <v>495</v>
      </c>
      <c r="C15" s="201" t="s">
        <v>496</v>
      </c>
      <c r="D15" s="201" t="s">
        <v>492</v>
      </c>
      <c r="E15" s="201" t="s">
        <v>497</v>
      </c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ht="45.0" customHeight="1">
      <c r="A16" s="200" t="s">
        <v>498</v>
      </c>
      <c r="B16" s="200" t="s">
        <v>499</v>
      </c>
      <c r="C16" s="200" t="s">
        <v>491</v>
      </c>
      <c r="D16" s="200" t="s">
        <v>500</v>
      </c>
      <c r="E16" s="200" t="s">
        <v>501</v>
      </c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ht="45.0" customHeight="1">
      <c r="A17" s="201" t="s">
        <v>502</v>
      </c>
      <c r="B17" s="201" t="s">
        <v>503</v>
      </c>
      <c r="C17" s="201" t="s">
        <v>504</v>
      </c>
      <c r="D17" s="201" t="s">
        <v>492</v>
      </c>
      <c r="E17" s="201" t="s">
        <v>505</v>
      </c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 ht="45.0" customHeight="1">
      <c r="A18" s="200" t="s">
        <v>506</v>
      </c>
      <c r="B18" s="200" t="s">
        <v>507</v>
      </c>
      <c r="C18" s="200" t="s">
        <v>508</v>
      </c>
      <c r="D18" s="200" t="s">
        <v>509</v>
      </c>
      <c r="E18" s="200" t="s">
        <v>510</v>
      </c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ht="45.0" customHeight="1">
      <c r="A19" s="201" t="s">
        <v>511</v>
      </c>
      <c r="B19" s="201" t="s">
        <v>512</v>
      </c>
      <c r="C19" s="201" t="s">
        <v>513</v>
      </c>
      <c r="D19" s="201" t="s">
        <v>492</v>
      </c>
      <c r="E19" s="201" t="s">
        <v>514</v>
      </c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ht="45.0" customHeight="1">
      <c r="A20" s="200" t="s">
        <v>515</v>
      </c>
      <c r="B20" s="200" t="s">
        <v>516</v>
      </c>
      <c r="C20" s="200" t="s">
        <v>517</v>
      </c>
      <c r="D20" s="200" t="s">
        <v>518</v>
      </c>
      <c r="E20" s="200" t="s">
        <v>519</v>
      </c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ht="15.75" customHeight="1">
      <c r="A21" s="145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ht="15.75" customHeight="1">
      <c r="A22" s="145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ht="15.75" customHeight="1">
      <c r="A23" s="145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ht="15.75" customHeight="1">
      <c r="A24" s="145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ht="15.75" customHeight="1">
      <c r="A25" s="145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ht="15.75" customHeight="1">
      <c r="A26" s="145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ht="15.75" customHeight="1">
      <c r="A27" s="145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ht="15.75" customHeight="1">
      <c r="A28" s="145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ht="15.75" customHeight="1">
      <c r="A29" s="145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ht="15.75" customHeight="1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 ht="15.75" customHeight="1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ht="15.75" customHeight="1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ht="15.75" customHeight="1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ht="15.75" customHeight="1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ht="15.75" customHeight="1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ht="15.75" customHeight="1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ht="15.75" customHeight="1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ht="15.75" customHeight="1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ht="15.75" customHeight="1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ht="15.75" customHeight="1">
      <c r="A40" s="145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ht="15.75" customHeight="1">
      <c r="A41" s="145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ht="15.75" customHeight="1">
      <c r="A42" s="145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ht="15.75" customHeight="1">
      <c r="A43" s="145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ht="15.75" customHeight="1">
      <c r="A44" s="145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ht="15.75" customHeight="1">
      <c r="A45" s="145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ht="15.75" customHeight="1">
      <c r="A46" s="145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ht="15.75" customHeight="1">
      <c r="A47" s="145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ht="15.75" customHeight="1">
      <c r="A48" s="145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ht="15.75" customHeight="1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ht="15.75" customHeight="1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ht="15.75" customHeight="1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ht="15.75" customHeight="1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ht="15.75" customHeight="1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ht="15.75" customHeight="1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ht="15.75" customHeight="1">
      <c r="A55" s="145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ht="15.75" customHeight="1">
      <c r="A56" s="145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ht="15.75" customHeight="1">
      <c r="A57" s="145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ht="15.75" customHeight="1">
      <c r="A58" s="145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ht="15.75" customHeight="1">
      <c r="A59" s="145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ht="15.75" customHeight="1">
      <c r="A60" s="145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ht="15.75" customHeight="1">
      <c r="A61" s="145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ht="15.75" customHeight="1">
      <c r="A62" s="145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ht="15.75" customHeight="1">
      <c r="A63" s="145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ht="15.75" customHeight="1">
      <c r="A64" s="145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ht="15.75" customHeight="1">
      <c r="A65" s="145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ht="15.75" customHeight="1">
      <c r="A66" s="145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ht="15.75" customHeight="1">
      <c r="A67" s="145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ht="15.75" customHeight="1">
      <c r="A68" s="145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ht="15.75" customHeight="1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ht="15.75" customHeight="1">
      <c r="A70" s="145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ht="15.75" customHeight="1">
      <c r="A71" s="145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ht="15.75" customHeight="1">
      <c r="A72" s="145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ht="15.75" customHeight="1">
      <c r="A73" s="145"/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ht="15.75" customHeight="1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ht="15.75" customHeight="1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ht="15.75" customHeight="1">
      <c r="A76" s="145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ht="15.75" customHeight="1">
      <c r="A77" s="145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ht="15.75" customHeight="1">
      <c r="A78" s="145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ht="15.75" customHeight="1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ht="15.75" customHeight="1">
      <c r="A80" s="145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ht="15.75" customHeight="1">
      <c r="A81" s="145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ht="15.75" customHeight="1">
      <c r="A82" s="145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ht="15.75" customHeight="1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ht="15.75" customHeight="1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ht="15.75" customHeight="1">
      <c r="A85" s="145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ht="15.75" customHeight="1">
      <c r="A86" s="145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ht="15.75" customHeight="1">
      <c r="A87" s="145"/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ht="15.75" customHeight="1">
      <c r="A88" s="145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ht="15.75" customHeight="1">
      <c r="A89" s="145"/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ht="15.75" customHeight="1">
      <c r="A90" s="145"/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ht="15.75" customHeight="1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ht="15.75" customHeight="1">
      <c r="A92" s="145"/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ht="15.75" customHeight="1">
      <c r="A93" s="145"/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ht="15.75" customHeight="1">
      <c r="A94" s="145"/>
      <c r="B94" s="145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ht="15.75" customHeight="1">
      <c r="A95" s="145"/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ht="15.75" customHeight="1">
      <c r="A96" s="145"/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ht="15.75" customHeight="1">
      <c r="A97" s="145"/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ht="15.75" customHeight="1">
      <c r="A98" s="145"/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ht="15.75" customHeight="1">
      <c r="A99" s="145"/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ht="15.75" customHeight="1">
      <c r="A100" s="145"/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ht="15.75" customHeight="1">
      <c r="A101" s="145"/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ht="15.75" customHeight="1">
      <c r="A102" s="145"/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ht="15.75" customHeight="1">
      <c r="A103" s="145"/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ht="15.75" customHeight="1">
      <c r="A104" s="145"/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ht="15.75" customHeight="1">
      <c r="A105" s="145"/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ht="15.75" customHeight="1">
      <c r="A106" s="145"/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ht="15.75" customHeight="1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ht="15.75" customHeight="1">
      <c r="A108" s="145"/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ht="15.75" customHeight="1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ht="15.75" customHeight="1">
      <c r="A110" s="145"/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ht="15.75" customHeight="1">
      <c r="A111" s="145"/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ht="15.75" customHeight="1">
      <c r="A112" s="145"/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ht="15.75" customHeight="1">
      <c r="A113" s="145"/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ht="15.75" customHeight="1">
      <c r="A114" s="145"/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ht="15.75" customHeight="1">
      <c r="A115" s="145"/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ht="15.75" customHeight="1">
      <c r="A116" s="145"/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ht="15.75" customHeight="1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ht="15.75" customHeight="1">
      <c r="A118" s="145"/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ht="15.75" customHeight="1">
      <c r="A119" s="145"/>
      <c r="B119" s="145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ht="15.75" customHeight="1">
      <c r="A120" s="145"/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ht="15.75" customHeight="1">
      <c r="A121" s="145"/>
      <c r="B121" s="145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ht="15.75" customHeight="1">
      <c r="A122" s="145"/>
      <c r="B122" s="145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ht="15.75" customHeight="1">
      <c r="A123" s="145"/>
      <c r="B123" s="145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ht="15.75" customHeight="1">
      <c r="A124" s="145"/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ht="15.75" customHeight="1">
      <c r="A125" s="145"/>
      <c r="B125" s="145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ht="15.75" customHeight="1">
      <c r="A126" s="145"/>
      <c r="B126" s="145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ht="15.75" customHeight="1">
      <c r="A127" s="145"/>
      <c r="B127" s="145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ht="15.75" customHeight="1">
      <c r="A128" s="145"/>
      <c r="B128" s="145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ht="15.75" customHeight="1">
      <c r="A129" s="145"/>
      <c r="B129" s="14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ht="15.75" customHeight="1">
      <c r="A130" s="145"/>
      <c r="B130" s="145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ht="15.75" customHeight="1">
      <c r="A131" s="145"/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ht="15.75" customHeight="1">
      <c r="A132" s="145"/>
      <c r="B132" s="145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ht="15.75" customHeight="1">
      <c r="A133" s="145"/>
      <c r="B133" s="145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ht="15.75" customHeight="1">
      <c r="A134" s="145"/>
      <c r="B134" s="145"/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ht="15.75" customHeight="1">
      <c r="A135" s="145"/>
      <c r="B135" s="145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ht="15.75" customHeight="1">
      <c r="A136" s="145"/>
      <c r="B136" s="145"/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ht="15.75" customHeight="1">
      <c r="A137" s="145"/>
      <c r="B137" s="145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ht="15.75" customHeight="1">
      <c r="A138" s="145"/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ht="15.75" customHeight="1">
      <c r="A139" s="145"/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ht="15.75" customHeight="1">
      <c r="A140" s="145"/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ht="15.75" customHeight="1">
      <c r="A141" s="145"/>
      <c r="B141" s="145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ht="15.75" customHeight="1">
      <c r="A142" s="145"/>
      <c r="B142" s="145"/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ht="15.75" customHeight="1">
      <c r="A143" s="145"/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ht="15.75" customHeight="1">
      <c r="A144" s="145"/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ht="15.75" customHeight="1">
      <c r="A145" s="145"/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ht="15.75" customHeight="1">
      <c r="A146" s="145"/>
      <c r="B146" s="145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ht="15.75" customHeight="1">
      <c r="A147" s="145"/>
      <c r="B147" s="145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ht="15.75" customHeight="1">
      <c r="A148" s="145"/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ht="15.75" customHeight="1">
      <c r="A149" s="145"/>
      <c r="B149" s="145"/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ht="15.75" customHeight="1">
      <c r="A150" s="145"/>
      <c r="B150" s="145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ht="15.75" customHeight="1">
      <c r="A151" s="145"/>
      <c r="B151" s="145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ht="15.75" customHeight="1">
      <c r="A152" s="145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ht="15.75" customHeight="1">
      <c r="A153" s="145"/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ht="15.75" customHeight="1">
      <c r="A154" s="145"/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ht="15.75" customHeight="1">
      <c r="A155" s="145"/>
      <c r="B155" s="145"/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ht="15.75" customHeight="1">
      <c r="A156" s="145"/>
      <c r="B156" s="145"/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ht="15.75" customHeight="1">
      <c r="A157" s="145"/>
      <c r="B157" s="145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ht="15.75" customHeight="1">
      <c r="A158" s="145"/>
      <c r="B158" s="145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ht="15.75" customHeight="1">
      <c r="A159" s="145"/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ht="15.75" customHeight="1">
      <c r="A160" s="145"/>
      <c r="B160" s="145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ht="15.75" customHeight="1">
      <c r="A161" s="145"/>
      <c r="B161" s="145"/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ht="15.75" customHeight="1">
      <c r="A162" s="145"/>
      <c r="B162" s="145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ht="15.75" customHeight="1">
      <c r="A163" s="145"/>
      <c r="B163" s="145"/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ht="15.75" customHeight="1">
      <c r="A164" s="145"/>
      <c r="B164" s="145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ht="15.75" customHeight="1">
      <c r="A165" s="145"/>
      <c r="B165" s="145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ht="15.75" customHeight="1">
      <c r="A166" s="145"/>
      <c r="B166" s="145"/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ht="15.75" customHeight="1">
      <c r="A167" s="145"/>
      <c r="B167" s="145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ht="15.75" customHeight="1">
      <c r="A168" s="145"/>
      <c r="B168" s="145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ht="15.75" customHeight="1">
      <c r="A169" s="145"/>
      <c r="B169" s="145"/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ht="15.75" customHeight="1">
      <c r="A170" s="145"/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ht="15.75" customHeight="1">
      <c r="A171" s="145"/>
      <c r="B171" s="145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ht="15.75" customHeight="1">
      <c r="A172" s="145"/>
      <c r="B172" s="145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ht="15.75" customHeight="1">
      <c r="A173" s="145"/>
      <c r="B173" s="145"/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ht="15.75" customHeight="1">
      <c r="A174" s="145"/>
      <c r="B174" s="145"/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ht="15.75" customHeight="1">
      <c r="A175" s="145"/>
      <c r="B175" s="145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ht="15.75" customHeight="1">
      <c r="A176" s="145"/>
      <c r="B176" s="145"/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ht="15.75" customHeight="1">
      <c r="A177" s="145"/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ht="15.75" customHeight="1">
      <c r="A178" s="145"/>
      <c r="B178" s="145"/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ht="15.75" customHeight="1">
      <c r="A179" s="145"/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ht="15.75" customHeight="1">
      <c r="A180" s="145"/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ht="15.75" customHeight="1">
      <c r="A181" s="145"/>
      <c r="B181" s="145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ht="15.75" customHeight="1">
      <c r="A182" s="145"/>
      <c r="B182" s="145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ht="15.75" customHeight="1">
      <c r="A183" s="145"/>
      <c r="B183" s="145"/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ht="15.75" customHeight="1">
      <c r="A184" s="145"/>
      <c r="B184" s="145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ht="15.75" customHeight="1">
      <c r="A185" s="145"/>
      <c r="B185" s="145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ht="15.75" customHeight="1">
      <c r="A186" s="145"/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ht="15.75" customHeight="1">
      <c r="A187" s="145"/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ht="15.75" customHeight="1">
      <c r="A188" s="145"/>
      <c r="B188" s="145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ht="15.75" customHeight="1">
      <c r="A189" s="145"/>
      <c r="B189" s="145"/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ht="15.75" customHeight="1">
      <c r="A190" s="145"/>
      <c r="B190" s="145"/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ht="15.75" customHeight="1">
      <c r="A191" s="145"/>
      <c r="B191" s="145"/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ht="15.75" customHeight="1">
      <c r="A192" s="145"/>
      <c r="B192" s="145"/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ht="15.75" customHeight="1">
      <c r="A193" s="145"/>
      <c r="B193" s="145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ht="15.75" customHeight="1">
      <c r="A194" s="145"/>
      <c r="B194" s="145"/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ht="15.75" customHeight="1">
      <c r="A195" s="145"/>
      <c r="B195" s="145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ht="15.75" customHeight="1">
      <c r="A196" s="145"/>
      <c r="B196" s="145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ht="15.75" customHeight="1">
      <c r="A197" s="145"/>
      <c r="B197" s="145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ht="15.75" customHeight="1">
      <c r="A198" s="145"/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ht="15.75" customHeight="1">
      <c r="A199" s="145"/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ht="15.75" customHeight="1">
      <c r="A200" s="145"/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ht="15.75" customHeight="1">
      <c r="A201" s="145"/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ht="15.75" customHeight="1">
      <c r="A202" s="145"/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ht="15.75" customHeight="1">
      <c r="A203" s="145"/>
      <c r="B203" s="145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ht="15.75" customHeight="1">
      <c r="A204" s="145"/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ht="15.75" customHeight="1">
      <c r="A205" s="145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ht="15.75" customHeight="1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ht="15.75" customHeight="1">
      <c r="A207" s="145"/>
      <c r="B207" s="145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ht="15.75" customHeight="1">
      <c r="A208" s="145"/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ht="15.75" customHeight="1">
      <c r="A209" s="145"/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ht="15.75" customHeight="1">
      <c r="A210" s="145"/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ht="15.75" customHeight="1">
      <c r="A211" s="145"/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ht="15.75" customHeight="1">
      <c r="A212" s="145"/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ht="15.75" customHeight="1">
      <c r="A213" s="145"/>
      <c r="B213" s="145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ht="15.75" customHeight="1">
      <c r="A214" s="145"/>
      <c r="B214" s="145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ht="15.75" customHeight="1">
      <c r="A215" s="145"/>
      <c r="B215" s="145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ht="15.75" customHeight="1">
      <c r="A216" s="145"/>
      <c r="B216" s="145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ht="15.75" customHeight="1">
      <c r="A217" s="145"/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ht="15.75" customHeight="1">
      <c r="A218" s="145"/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ht="15.75" customHeight="1">
      <c r="A219" s="145"/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ht="15.75" customHeight="1">
      <c r="A220" s="145"/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ht="15.75" customHeight="1">
      <c r="A221" s="145"/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ht="15.75" customHeight="1">
      <c r="A222" s="145"/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ht="15.75" customHeight="1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ht="15.75" customHeight="1">
      <c r="A224" s="145"/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ht="15.75" customHeight="1">
      <c r="A225" s="145"/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ht="15.75" customHeight="1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ht="15.75" customHeight="1">
      <c r="A227" s="145"/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ht="15.75" customHeight="1">
      <c r="A228" s="145"/>
      <c r="B228" s="145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ht="15.75" customHeight="1">
      <c r="A229" s="145"/>
      <c r="B229" s="145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ht="15.75" customHeight="1">
      <c r="A230" s="145"/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ht="15.75" customHeight="1">
      <c r="A231" s="145"/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ht="15.75" customHeight="1">
      <c r="A232" s="145"/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ht="15.75" customHeight="1">
      <c r="A233" s="145"/>
      <c r="B233" s="145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 ht="15.75" customHeight="1">
      <c r="A234" s="145"/>
      <c r="B234" s="145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 ht="15.75" customHeight="1">
      <c r="A235" s="145"/>
      <c r="B235" s="145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</row>
    <row r="236" ht="15.75" customHeight="1">
      <c r="A236" s="145"/>
      <c r="B236" s="145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</row>
    <row r="237" ht="15.75" customHeight="1">
      <c r="A237" s="145"/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</row>
    <row r="238" ht="15.75" customHeight="1">
      <c r="A238" s="145"/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</row>
    <row r="239" ht="15.75" customHeight="1">
      <c r="A239" s="145"/>
      <c r="B239" s="145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</row>
    <row r="240" ht="15.75" customHeight="1">
      <c r="A240" s="145"/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</row>
    <row r="241" ht="15.75" customHeight="1">
      <c r="A241" s="145"/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</row>
    <row r="242" ht="15.75" customHeight="1">
      <c r="A242" s="145"/>
      <c r="B242" s="145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</row>
    <row r="243" ht="15.75" customHeight="1">
      <c r="A243" s="145"/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</row>
    <row r="244" ht="15.75" customHeight="1">
      <c r="A244" s="145"/>
      <c r="B244" s="145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</row>
    <row r="245" ht="15.75" customHeight="1">
      <c r="A245" s="145"/>
      <c r="B245" s="145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</row>
    <row r="246" ht="15.75" customHeight="1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</row>
    <row r="247" ht="15.75" customHeight="1">
      <c r="A247" s="145"/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</row>
    <row r="248" ht="15.75" customHeight="1">
      <c r="A248" s="145"/>
      <c r="B248" s="145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</row>
    <row r="249" ht="15.75" customHeight="1">
      <c r="A249" s="145"/>
      <c r="B249" s="145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</row>
    <row r="250" ht="15.75" customHeight="1">
      <c r="A250" s="145"/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</row>
    <row r="251" ht="15.75" customHeight="1">
      <c r="A251" s="145"/>
      <c r="B251" s="145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</row>
    <row r="252" ht="15.75" customHeight="1">
      <c r="A252" s="145"/>
      <c r="B252" s="145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</row>
    <row r="253" ht="15.75" customHeight="1">
      <c r="A253" s="145"/>
      <c r="B253" s="145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</row>
    <row r="254" ht="15.75" customHeight="1">
      <c r="A254" s="145"/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</row>
    <row r="255" ht="15.75" customHeight="1">
      <c r="A255" s="145"/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</row>
    <row r="256" ht="15.75" customHeight="1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</row>
    <row r="257" ht="15.75" customHeight="1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</row>
    <row r="258" ht="15.75" customHeight="1">
      <c r="A258" s="145"/>
      <c r="B258" s="145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</row>
    <row r="259" ht="15.75" customHeight="1">
      <c r="A259" s="145"/>
      <c r="B259" s="145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</row>
    <row r="260" ht="15.75" customHeight="1">
      <c r="A260" s="145"/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</row>
    <row r="261" ht="15.75" customHeight="1">
      <c r="A261" s="145"/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</row>
    <row r="262" ht="15.75" customHeight="1">
      <c r="A262" s="145"/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</row>
    <row r="263" ht="15.75" customHeight="1">
      <c r="A263" s="145"/>
      <c r="B263" s="145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</row>
    <row r="264" ht="15.75" customHeight="1">
      <c r="A264" s="145"/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</row>
    <row r="265" ht="15.75" customHeight="1">
      <c r="A265" s="145"/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</row>
    <row r="266" ht="15.75" customHeight="1">
      <c r="A266" s="145"/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</row>
    <row r="267" ht="15.75" customHeight="1">
      <c r="A267" s="145"/>
      <c r="B267" s="145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</row>
    <row r="268" ht="15.75" customHeight="1">
      <c r="A268" s="145"/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</row>
    <row r="269" ht="15.75" customHeight="1">
      <c r="A269" s="145"/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</row>
    <row r="270" ht="15.75" customHeight="1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</row>
    <row r="271" ht="15.75" customHeight="1">
      <c r="A271" s="145"/>
      <c r="B271" s="145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</row>
    <row r="272" ht="15.75" customHeight="1">
      <c r="A272" s="145"/>
      <c r="B272" s="145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</row>
    <row r="273" ht="15.75" customHeight="1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</row>
    <row r="274" ht="15.75" customHeight="1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</row>
    <row r="275" ht="15.75" customHeight="1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</row>
    <row r="276" ht="15.75" customHeight="1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</row>
    <row r="277" ht="15.75" customHeight="1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</row>
    <row r="278" ht="15.75" customHeight="1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</row>
    <row r="279" ht="15.75" customHeight="1">
      <c r="A279" s="145"/>
      <c r="B279" s="145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</row>
    <row r="280" ht="15.75" customHeight="1">
      <c r="A280" s="145"/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</row>
    <row r="281" ht="15.75" customHeight="1">
      <c r="A281" s="145"/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</row>
    <row r="282" ht="15.75" customHeight="1">
      <c r="A282" s="145"/>
      <c r="B282" s="145"/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</row>
    <row r="283" ht="15.75" customHeight="1">
      <c r="A283" s="145"/>
      <c r="B283" s="145"/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</row>
    <row r="284" ht="15.75" customHeight="1">
      <c r="A284" s="145"/>
      <c r="B284" s="145"/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</row>
    <row r="285" ht="15.75" customHeight="1">
      <c r="A285" s="145"/>
      <c r="B285" s="145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</row>
    <row r="286" ht="15.75" customHeight="1">
      <c r="A286" s="145"/>
      <c r="B286" s="145"/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</row>
    <row r="287" ht="15.75" customHeight="1">
      <c r="A287" s="145"/>
      <c r="B287" s="145"/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</row>
    <row r="288" ht="15.75" customHeight="1">
      <c r="A288" s="145"/>
      <c r="B288" s="145"/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</row>
    <row r="289" ht="15.75" customHeight="1">
      <c r="A289" s="145"/>
      <c r="B289" s="145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</row>
    <row r="290" ht="15.75" customHeight="1">
      <c r="A290" s="145"/>
      <c r="B290" s="145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</row>
    <row r="291" ht="15.75" customHeight="1">
      <c r="A291" s="145"/>
      <c r="B291" s="145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</row>
    <row r="292" ht="15.75" customHeight="1">
      <c r="A292" s="145"/>
      <c r="B292" s="145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</row>
    <row r="293" ht="15.75" customHeight="1">
      <c r="A293" s="145"/>
      <c r="B293" s="145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</row>
    <row r="294" ht="15.75" customHeight="1">
      <c r="A294" s="145"/>
      <c r="B294" s="145"/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</row>
    <row r="295" ht="15.75" customHeight="1">
      <c r="A295" s="145"/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</row>
    <row r="296" ht="15.75" customHeight="1">
      <c r="A296" s="145"/>
      <c r="B296" s="145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</row>
    <row r="297" ht="15.75" customHeight="1">
      <c r="A297" s="145"/>
      <c r="B297" s="145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</row>
    <row r="298" ht="15.75" customHeight="1">
      <c r="A298" s="145"/>
      <c r="B298" s="145"/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</row>
    <row r="299" ht="15.75" customHeight="1">
      <c r="A299" s="145"/>
      <c r="B299" s="145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</row>
    <row r="300" ht="15.75" customHeight="1">
      <c r="A300" s="145"/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</row>
    <row r="301" ht="15.75" customHeight="1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</row>
    <row r="302" ht="15.75" customHeight="1">
      <c r="A302" s="145"/>
      <c r="B302" s="145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</row>
    <row r="303" ht="15.75" customHeight="1">
      <c r="A303" s="145"/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</row>
    <row r="304" ht="15.75" customHeight="1">
      <c r="A304" s="145"/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</row>
    <row r="305" ht="15.75" customHeight="1">
      <c r="A305" s="145"/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</row>
    <row r="306" ht="15.75" customHeight="1">
      <c r="A306" s="145"/>
      <c r="B306" s="145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</row>
    <row r="307" ht="15.75" customHeight="1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</row>
    <row r="308" ht="15.75" customHeight="1">
      <c r="A308" s="145"/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</row>
    <row r="309" ht="15.75" customHeight="1">
      <c r="A309" s="145"/>
      <c r="B309" s="145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</row>
    <row r="310" ht="15.75" customHeight="1">
      <c r="A310" s="145"/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</row>
    <row r="311" ht="15.75" customHeight="1">
      <c r="A311" s="145"/>
      <c r="B311" s="145"/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</row>
    <row r="312" ht="15.75" customHeight="1">
      <c r="A312" s="145"/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</row>
    <row r="313" ht="15.75" customHeight="1">
      <c r="A313" s="145"/>
      <c r="B313" s="145"/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</row>
    <row r="314" ht="15.75" customHeight="1">
      <c r="A314" s="145"/>
      <c r="B314" s="145"/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</row>
    <row r="315" ht="15.75" customHeight="1">
      <c r="A315" s="145"/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</row>
    <row r="316" ht="15.75" customHeight="1">
      <c r="A316" s="145"/>
      <c r="B316" s="145"/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</row>
    <row r="317" ht="15.75" customHeight="1">
      <c r="A317" s="145"/>
      <c r="B317" s="145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</row>
    <row r="318" ht="15.75" customHeight="1">
      <c r="A318" s="145"/>
      <c r="B318" s="145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</row>
    <row r="319" ht="15.75" customHeight="1">
      <c r="A319" s="145"/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</row>
    <row r="320" ht="15.75" customHeight="1">
      <c r="A320" s="145"/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</row>
    <row r="321" ht="15.75" customHeight="1">
      <c r="A321" s="145"/>
      <c r="B321" s="145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</row>
    <row r="322" ht="15.75" customHeight="1">
      <c r="A322" s="145"/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</row>
    <row r="323" ht="15.75" customHeight="1">
      <c r="A323" s="145"/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</row>
    <row r="324" ht="15.75" customHeight="1">
      <c r="A324" s="145"/>
      <c r="B324" s="145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</row>
    <row r="325" ht="15.75" customHeight="1">
      <c r="A325" s="145"/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</row>
    <row r="326" ht="15.75" customHeight="1">
      <c r="A326" s="145"/>
      <c r="B326" s="145"/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</row>
    <row r="327" ht="15.75" customHeight="1">
      <c r="A327" s="145"/>
      <c r="B327" s="145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</row>
    <row r="328" ht="15.75" customHeight="1">
      <c r="A328" s="145"/>
      <c r="B328" s="145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</row>
    <row r="329" ht="15.75" customHeight="1">
      <c r="A329" s="145"/>
      <c r="B329" s="145"/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</row>
    <row r="330" ht="15.75" customHeight="1">
      <c r="A330" s="145"/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</row>
    <row r="331" ht="15.75" customHeight="1">
      <c r="A331" s="145"/>
      <c r="B331" s="145"/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</row>
    <row r="332" ht="15.75" customHeight="1">
      <c r="A332" s="145"/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</row>
    <row r="333" ht="15.75" customHeight="1">
      <c r="A333" s="145"/>
      <c r="B333" s="145"/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</row>
    <row r="334" ht="15.75" customHeight="1">
      <c r="A334" s="145"/>
      <c r="B334" s="145"/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</row>
    <row r="335" ht="15.75" customHeight="1">
      <c r="A335" s="145"/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</row>
    <row r="336" ht="15.75" customHeight="1">
      <c r="A336" s="145"/>
      <c r="B336" s="145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</row>
    <row r="337" ht="15.75" customHeight="1">
      <c r="A337" s="145"/>
      <c r="B337" s="145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</row>
    <row r="338" ht="15.75" customHeight="1">
      <c r="A338" s="145"/>
      <c r="B338" s="145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</row>
    <row r="339" ht="15.75" customHeight="1">
      <c r="A339" s="145"/>
      <c r="B339" s="145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</row>
    <row r="340" ht="15.75" customHeight="1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</row>
    <row r="341" ht="15.75" customHeight="1">
      <c r="A341" s="145"/>
      <c r="B341" s="145"/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</row>
    <row r="342" ht="15.75" customHeight="1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</row>
    <row r="343" ht="15.75" customHeight="1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</row>
    <row r="344" ht="15.75" customHeight="1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</row>
    <row r="345" ht="15.75" customHeight="1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</row>
    <row r="346" ht="15.75" customHeight="1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</row>
    <row r="347" ht="15.75" customHeight="1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</row>
    <row r="348" ht="15.75" customHeight="1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</row>
    <row r="349" ht="15.75" customHeight="1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</row>
    <row r="350" ht="15.75" customHeight="1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</row>
    <row r="351" ht="15.75" customHeight="1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</row>
    <row r="352" ht="15.75" customHeight="1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</row>
    <row r="353" ht="15.75" customHeight="1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</row>
    <row r="354" ht="15.75" customHeight="1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</row>
    <row r="355" ht="15.75" customHeight="1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</row>
    <row r="356" ht="15.75" customHeight="1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</row>
    <row r="357" ht="15.75" customHeight="1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</row>
    <row r="358" ht="15.75" customHeight="1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</row>
    <row r="359" ht="15.75" customHeight="1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</row>
    <row r="360" ht="15.75" customHeight="1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</row>
    <row r="361" ht="15.75" customHeight="1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</row>
    <row r="362" ht="15.75" customHeight="1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</row>
    <row r="363" ht="15.75" customHeight="1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</row>
    <row r="364" ht="15.75" customHeight="1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</row>
    <row r="365" ht="15.75" customHeight="1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</row>
    <row r="366" ht="15.75" customHeight="1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</row>
    <row r="367" ht="15.75" customHeight="1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</row>
    <row r="368" ht="15.75" customHeight="1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</row>
    <row r="369" ht="15.75" customHeight="1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</row>
    <row r="370" ht="15.75" customHeight="1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</row>
    <row r="371" ht="15.75" customHeight="1">
      <c r="A371" s="145"/>
      <c r="B371" s="145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</row>
    <row r="372" ht="15.75" customHeight="1">
      <c r="A372" s="145"/>
      <c r="B372" s="145"/>
      <c r="C372" s="145"/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</row>
    <row r="373" ht="15.75" customHeight="1">
      <c r="A373" s="145"/>
      <c r="B373" s="145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</row>
    <row r="374" ht="15.75" customHeight="1">
      <c r="A374" s="145"/>
      <c r="B374" s="145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</row>
    <row r="375" ht="15.75" customHeight="1">
      <c r="A375" s="145"/>
      <c r="B375" s="145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</row>
    <row r="376" ht="15.75" customHeight="1">
      <c r="A376" s="145"/>
      <c r="B376" s="145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</row>
    <row r="377" ht="15.75" customHeight="1">
      <c r="A377" s="145"/>
      <c r="B377" s="145"/>
      <c r="C377" s="145"/>
      <c r="D377" s="145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</row>
    <row r="378" ht="15.75" customHeight="1">
      <c r="A378" s="145"/>
      <c r="B378" s="145"/>
      <c r="C378" s="145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</row>
    <row r="379" ht="15.75" customHeight="1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</row>
    <row r="380" ht="15.75" customHeight="1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</row>
    <row r="381" ht="15.75" customHeight="1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</row>
    <row r="382" ht="15.75" customHeight="1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</row>
    <row r="383" ht="15.75" customHeight="1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</row>
    <row r="384" ht="15.75" customHeight="1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</row>
    <row r="385" ht="15.75" customHeight="1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</row>
    <row r="386" ht="15.75" customHeight="1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</row>
    <row r="387" ht="15.75" customHeight="1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</row>
    <row r="388" ht="15.75" customHeight="1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</row>
    <row r="389" ht="15.75" customHeight="1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</row>
    <row r="390" ht="15.75" customHeight="1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</row>
    <row r="391" ht="15.75" customHeight="1">
      <c r="A391" s="145"/>
      <c r="B391" s="145"/>
      <c r="C391" s="145"/>
      <c r="D391" s="145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</row>
    <row r="392" ht="15.75" customHeight="1">
      <c r="A392" s="145"/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</row>
    <row r="393" ht="15.75" customHeight="1">
      <c r="A393" s="145"/>
      <c r="B393" s="145"/>
      <c r="C393" s="145"/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</row>
    <row r="394" ht="15.75" customHeight="1">
      <c r="A394" s="145"/>
      <c r="B394" s="145"/>
      <c r="C394" s="145"/>
      <c r="D394" s="145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</row>
    <row r="395" ht="15.75" customHeight="1">
      <c r="A395" s="145"/>
      <c r="B395" s="145"/>
      <c r="C395" s="145"/>
      <c r="D395" s="145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</row>
    <row r="396" ht="15.75" customHeight="1">
      <c r="A396" s="145"/>
      <c r="B396" s="145"/>
      <c r="C396" s="145"/>
      <c r="D396" s="145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</row>
    <row r="397" ht="15.75" customHeight="1">
      <c r="A397" s="145"/>
      <c r="B397" s="145"/>
      <c r="C397" s="145"/>
      <c r="D397" s="145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</row>
    <row r="398" ht="15.75" customHeight="1">
      <c r="A398" s="145"/>
      <c r="B398" s="145"/>
      <c r="C398" s="145"/>
      <c r="D398" s="145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</row>
    <row r="399" ht="15.75" customHeight="1">
      <c r="A399" s="145"/>
      <c r="B399" s="145"/>
      <c r="C399" s="145"/>
      <c r="D399" s="145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</row>
    <row r="400" ht="15.75" customHeight="1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</row>
    <row r="401" ht="15.75" customHeight="1">
      <c r="A401" s="145"/>
      <c r="B401" s="145"/>
      <c r="C401" s="145"/>
      <c r="D401" s="145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</row>
    <row r="402" ht="15.75" customHeight="1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</row>
    <row r="403" ht="15.75" customHeight="1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</row>
    <row r="404" ht="15.75" customHeight="1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</row>
    <row r="405" ht="15.75" customHeight="1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</row>
    <row r="406" ht="15.75" customHeight="1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</row>
    <row r="407" ht="15.75" customHeight="1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</row>
    <row r="408" ht="15.75" customHeight="1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</row>
    <row r="409" ht="15.75" customHeight="1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</row>
    <row r="410" ht="15.75" customHeight="1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</row>
    <row r="411" ht="15.75" customHeight="1">
      <c r="A411" s="145"/>
      <c r="B411" s="145"/>
      <c r="C411" s="145"/>
      <c r="D411" s="145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</row>
    <row r="412" ht="15.75" customHeight="1">
      <c r="A412" s="145"/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</row>
    <row r="413" ht="15.75" customHeight="1">
      <c r="A413" s="145"/>
      <c r="B413" s="145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</row>
    <row r="414" ht="15.75" customHeight="1">
      <c r="A414" s="145"/>
      <c r="B414" s="145"/>
      <c r="C414" s="145"/>
      <c r="D414" s="145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</row>
    <row r="415" ht="15.75" customHeight="1">
      <c r="A415" s="145"/>
      <c r="B415" s="145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</row>
    <row r="416" ht="15.75" customHeight="1">
      <c r="A416" s="145"/>
      <c r="B416" s="145"/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</row>
    <row r="417" ht="15.75" customHeight="1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</row>
    <row r="418" ht="15.75" customHeight="1">
      <c r="A418" s="145"/>
      <c r="B418" s="145"/>
      <c r="C418" s="145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</row>
    <row r="419" ht="15.75" customHeight="1">
      <c r="A419" s="145"/>
      <c r="B419" s="145"/>
      <c r="C419" s="145"/>
      <c r="D419" s="145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</row>
    <row r="420" ht="15.75" customHeight="1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</row>
    <row r="421" ht="15.75" customHeight="1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</row>
    <row r="422" ht="15.75" customHeight="1">
      <c r="A422" s="145"/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</row>
    <row r="423" ht="15.75" customHeight="1">
      <c r="A423" s="145"/>
      <c r="B423" s="145"/>
      <c r="C423" s="145"/>
      <c r="D423" s="145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</row>
    <row r="424" ht="15.75" customHeight="1">
      <c r="A424" s="145"/>
      <c r="B424" s="145"/>
      <c r="C424" s="145"/>
      <c r="D424" s="145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</row>
    <row r="425" ht="15.75" customHeight="1">
      <c r="A425" s="145"/>
      <c r="B425" s="145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</row>
    <row r="426" ht="15.75" customHeight="1">
      <c r="A426" s="145"/>
      <c r="B426" s="145"/>
      <c r="C426" s="145"/>
      <c r="D426" s="145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</row>
    <row r="427" ht="15.75" customHeight="1">
      <c r="A427" s="145"/>
      <c r="B427" s="145"/>
      <c r="C427" s="145"/>
      <c r="D427" s="145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</row>
    <row r="428" ht="15.75" customHeight="1">
      <c r="A428" s="145"/>
      <c r="B428" s="145"/>
      <c r="C428" s="145"/>
      <c r="D428" s="145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</row>
    <row r="429" ht="15.75" customHeight="1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</row>
    <row r="430" ht="15.75" customHeight="1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</row>
    <row r="431" ht="15.75" customHeight="1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</row>
    <row r="432" ht="15.75" customHeight="1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</row>
    <row r="433" ht="15.75" customHeight="1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</row>
    <row r="434" ht="15.75" customHeight="1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</row>
    <row r="435" ht="15.75" customHeight="1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</row>
    <row r="436" ht="15.75" customHeight="1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</row>
    <row r="437" ht="15.75" customHeight="1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</row>
    <row r="438" ht="15.75" customHeight="1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</row>
    <row r="439" ht="15.75" customHeight="1">
      <c r="A439" s="145"/>
      <c r="B439" s="145"/>
      <c r="C439" s="145"/>
      <c r="D439" s="145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</row>
    <row r="440" ht="15.75" customHeight="1">
      <c r="A440" s="145"/>
      <c r="B440" s="145"/>
      <c r="C440" s="145"/>
      <c r="D440" s="145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</row>
    <row r="441" ht="15.75" customHeight="1">
      <c r="A441" s="145"/>
      <c r="B441" s="145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</row>
    <row r="442" ht="15.75" customHeight="1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</row>
    <row r="443" ht="15.75" customHeight="1">
      <c r="A443" s="145"/>
      <c r="B443" s="145"/>
      <c r="C443" s="145"/>
      <c r="D443" s="145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</row>
    <row r="444" ht="15.75" customHeight="1">
      <c r="A444" s="145"/>
      <c r="B444" s="145"/>
      <c r="C444" s="145"/>
      <c r="D444" s="145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</row>
    <row r="445" ht="15.75" customHeight="1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</row>
    <row r="446" ht="15.75" customHeight="1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</row>
    <row r="447" ht="15.75" customHeight="1">
      <c r="A447" s="145"/>
      <c r="B447" s="145"/>
      <c r="C447" s="145"/>
      <c r="D447" s="145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</row>
    <row r="448" ht="15.75" customHeight="1">
      <c r="A448" s="145"/>
      <c r="B448" s="145"/>
      <c r="C448" s="145"/>
      <c r="D448" s="145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</row>
    <row r="449" ht="15.75" customHeight="1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</row>
    <row r="450" ht="15.75" customHeight="1">
      <c r="A450" s="145"/>
      <c r="B450" s="145"/>
      <c r="C450" s="145"/>
      <c r="D450" s="145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</row>
    <row r="451" ht="15.75" customHeight="1">
      <c r="A451" s="145"/>
      <c r="B451" s="145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</row>
    <row r="452" ht="15.75" customHeight="1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</row>
    <row r="453" ht="15.75" customHeight="1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</row>
    <row r="454" ht="15.75" customHeight="1">
      <c r="A454" s="145"/>
      <c r="B454" s="145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</row>
    <row r="455" ht="15.75" customHeight="1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</row>
    <row r="456" ht="15.75" customHeight="1">
      <c r="A456" s="145"/>
      <c r="B456" s="145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</row>
    <row r="457" ht="15.75" customHeight="1">
      <c r="A457" s="145"/>
      <c r="B457" s="145"/>
      <c r="C457" s="145"/>
      <c r="D457" s="145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</row>
    <row r="458" ht="15.75" customHeight="1">
      <c r="A458" s="145"/>
      <c r="B458" s="145"/>
      <c r="C458" s="145"/>
      <c r="D458" s="145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</row>
    <row r="459" ht="15.75" customHeight="1">
      <c r="A459" s="145"/>
      <c r="B459" s="145"/>
      <c r="C459" s="145"/>
      <c r="D459" s="145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</row>
    <row r="460" ht="15.75" customHeight="1">
      <c r="A460" s="145"/>
      <c r="B460" s="145"/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</row>
    <row r="461" ht="15.75" customHeight="1">
      <c r="A461" s="145"/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</row>
    <row r="462" ht="15.75" customHeight="1">
      <c r="A462" s="145"/>
      <c r="B462" s="145"/>
      <c r="C462" s="145"/>
      <c r="D462" s="145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</row>
    <row r="463" ht="15.75" customHeight="1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</row>
    <row r="464" ht="15.75" customHeight="1">
      <c r="A464" s="145"/>
      <c r="B464" s="145"/>
      <c r="C464" s="145"/>
      <c r="D464" s="145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</row>
    <row r="465" ht="15.75" customHeight="1">
      <c r="A465" s="145"/>
      <c r="B465" s="145"/>
      <c r="C465" s="145"/>
      <c r="D465" s="145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</row>
    <row r="466" ht="15.75" customHeight="1">
      <c r="A466" s="145"/>
      <c r="B466" s="145"/>
      <c r="C466" s="145"/>
      <c r="D466" s="145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</row>
    <row r="467" ht="15.75" customHeight="1">
      <c r="A467" s="145"/>
      <c r="B467" s="145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</row>
    <row r="468" ht="15.75" customHeight="1">
      <c r="A468" s="145"/>
      <c r="B468" s="145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</row>
    <row r="469" ht="15.75" customHeight="1">
      <c r="A469" s="145"/>
      <c r="B469" s="145"/>
      <c r="C469" s="145"/>
      <c r="D469" s="145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</row>
    <row r="470" ht="15.75" customHeight="1">
      <c r="A470" s="145"/>
      <c r="B470" s="145"/>
      <c r="C470" s="145"/>
      <c r="D470" s="145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</row>
    <row r="471" ht="15.75" customHeight="1">
      <c r="A471" s="145"/>
      <c r="B471" s="145"/>
      <c r="C471" s="145"/>
      <c r="D471" s="145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</row>
    <row r="472" ht="15.75" customHeight="1">
      <c r="A472" s="145"/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</row>
    <row r="473" ht="15.75" customHeight="1">
      <c r="A473" s="145"/>
      <c r="B473" s="145"/>
      <c r="C473" s="145"/>
      <c r="D473" s="145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</row>
    <row r="474" ht="15.75" customHeight="1">
      <c r="A474" s="145"/>
      <c r="B474" s="145"/>
      <c r="C474" s="145"/>
      <c r="D474" s="145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</row>
    <row r="475" ht="15.75" customHeight="1">
      <c r="A475" s="145"/>
      <c r="B475" s="145"/>
      <c r="C475" s="145"/>
      <c r="D475" s="145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</row>
    <row r="476" ht="15.75" customHeight="1">
      <c r="A476" s="145"/>
      <c r="B476" s="145"/>
      <c r="C476" s="145"/>
      <c r="D476" s="145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</row>
    <row r="477" ht="15.75" customHeight="1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</row>
    <row r="478" ht="15.75" customHeight="1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</row>
    <row r="479" ht="15.75" customHeight="1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</row>
    <row r="480" ht="15.75" customHeight="1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</row>
    <row r="481" ht="15.75" customHeight="1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</row>
    <row r="482" ht="15.75" customHeight="1">
      <c r="A482" s="145"/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</row>
    <row r="483" ht="15.75" customHeight="1">
      <c r="A483" s="145"/>
      <c r="B483" s="145"/>
      <c r="C483" s="145"/>
      <c r="D483" s="145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</row>
    <row r="484" ht="15.75" customHeight="1">
      <c r="A484" s="145"/>
      <c r="B484" s="145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</row>
    <row r="485" ht="15.75" customHeight="1">
      <c r="A485" s="145"/>
      <c r="B485" s="145"/>
      <c r="C485" s="145"/>
      <c r="D485" s="145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</row>
    <row r="486" ht="15.75" customHeight="1">
      <c r="A486" s="145"/>
      <c r="B486" s="145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</row>
    <row r="487" ht="15.75" customHeight="1">
      <c r="A487" s="145"/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</row>
    <row r="488" ht="15.75" customHeight="1">
      <c r="A488" s="145"/>
      <c r="B488" s="145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</row>
    <row r="489" ht="15.75" customHeight="1">
      <c r="A489" s="145"/>
      <c r="B489" s="145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</row>
    <row r="490" ht="15.75" customHeight="1">
      <c r="A490" s="145"/>
      <c r="B490" s="145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</row>
    <row r="491" ht="15.75" customHeight="1">
      <c r="A491" s="145"/>
      <c r="B491" s="145"/>
      <c r="C491" s="145"/>
      <c r="D491" s="145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</row>
    <row r="492" ht="15.75" customHeight="1">
      <c r="A492" s="145"/>
      <c r="B492" s="145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</row>
    <row r="493" ht="15.75" customHeight="1">
      <c r="A493" s="145"/>
      <c r="B493" s="145"/>
      <c r="C493" s="145"/>
      <c r="D493" s="145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</row>
    <row r="494" ht="15.75" customHeight="1">
      <c r="A494" s="145"/>
      <c r="B494" s="145"/>
      <c r="C494" s="145"/>
      <c r="D494" s="145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</row>
    <row r="495" ht="15.75" customHeight="1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</row>
    <row r="496" ht="15.75" customHeight="1">
      <c r="A496" s="145"/>
      <c r="B496" s="145"/>
      <c r="C496" s="145"/>
      <c r="D496" s="145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</row>
    <row r="497" ht="15.75" customHeight="1">
      <c r="A497" s="145"/>
      <c r="B497" s="145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</row>
    <row r="498" ht="15.75" customHeight="1">
      <c r="A498" s="145"/>
      <c r="B498" s="145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</row>
    <row r="499" ht="15.75" customHeight="1">
      <c r="A499" s="145"/>
      <c r="B499" s="145"/>
      <c r="C499" s="145"/>
      <c r="D499" s="145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</row>
    <row r="500" ht="15.75" customHeight="1">
      <c r="A500" s="145"/>
      <c r="B500" s="145"/>
      <c r="C500" s="145"/>
      <c r="D500" s="145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</row>
    <row r="501" ht="15.75" customHeight="1">
      <c r="A501" s="145"/>
      <c r="B501" s="145"/>
      <c r="C501" s="145"/>
      <c r="D501" s="145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</row>
    <row r="502" ht="15.75" customHeight="1">
      <c r="A502" s="145"/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</row>
    <row r="503" ht="15.75" customHeight="1">
      <c r="A503" s="145"/>
      <c r="B503" s="145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</row>
    <row r="504" ht="15.75" customHeight="1">
      <c r="A504" s="145"/>
      <c r="B504" s="145"/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</row>
    <row r="505" ht="15.75" customHeight="1">
      <c r="A505" s="145"/>
      <c r="B505" s="145"/>
      <c r="C505" s="145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</row>
    <row r="506" ht="15.75" customHeight="1">
      <c r="A506" s="145"/>
      <c r="B506" s="145"/>
      <c r="C506" s="145"/>
      <c r="D506" s="145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</row>
    <row r="507" ht="15.75" customHeight="1">
      <c r="A507" s="145"/>
      <c r="B507" s="145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</row>
    <row r="508" ht="15.75" customHeight="1">
      <c r="A508" s="145"/>
      <c r="B508" s="145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</row>
    <row r="509" ht="15.75" customHeight="1">
      <c r="A509" s="145"/>
      <c r="B509" s="145"/>
      <c r="C509" s="145"/>
      <c r="D509" s="145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</row>
    <row r="510" ht="15.75" customHeight="1">
      <c r="A510" s="145"/>
      <c r="B510" s="145"/>
      <c r="C510" s="145"/>
      <c r="D510" s="145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</row>
    <row r="511" ht="15.75" customHeight="1">
      <c r="A511" s="145"/>
      <c r="B511" s="145"/>
      <c r="C511" s="145"/>
      <c r="D511" s="145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</row>
    <row r="512" ht="15.75" customHeight="1">
      <c r="A512" s="145"/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</row>
    <row r="513" ht="15.75" customHeight="1">
      <c r="A513" s="145"/>
      <c r="B513" s="145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</row>
    <row r="514" ht="15.75" customHeight="1">
      <c r="A514" s="145"/>
      <c r="B514" s="145"/>
      <c r="C514" s="145"/>
      <c r="D514" s="145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</row>
    <row r="515" ht="15.75" customHeight="1">
      <c r="A515" s="145"/>
      <c r="B515" s="145"/>
      <c r="C515" s="145"/>
      <c r="D515" s="145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</row>
    <row r="516" ht="15.75" customHeight="1">
      <c r="A516" s="145"/>
      <c r="B516" s="145"/>
      <c r="C516" s="145"/>
      <c r="D516" s="145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</row>
    <row r="517" ht="15.75" customHeight="1">
      <c r="A517" s="145"/>
      <c r="B517" s="145"/>
      <c r="C517" s="145"/>
      <c r="D517" s="145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</row>
    <row r="518" ht="15.75" customHeight="1">
      <c r="A518" s="145"/>
      <c r="B518" s="145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</row>
    <row r="519" ht="15.75" customHeight="1">
      <c r="A519" s="145"/>
      <c r="B519" s="145"/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</row>
    <row r="520" ht="15.75" customHeight="1">
      <c r="A520" s="145"/>
      <c r="B520" s="145"/>
      <c r="C520" s="145"/>
      <c r="D520" s="145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</row>
    <row r="521" ht="15.75" customHeight="1">
      <c r="A521" s="145"/>
      <c r="B521" s="145"/>
      <c r="C521" s="145"/>
      <c r="D521" s="145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</row>
    <row r="522" ht="15.75" customHeight="1">
      <c r="A522" s="145"/>
      <c r="B522" s="145"/>
      <c r="C522" s="145"/>
      <c r="D522" s="145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</row>
    <row r="523" ht="15.75" customHeight="1">
      <c r="A523" s="145"/>
      <c r="B523" s="145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</row>
    <row r="524" ht="15.75" customHeight="1">
      <c r="A524" s="145"/>
      <c r="B524" s="145"/>
      <c r="C524" s="145"/>
      <c r="D524" s="145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</row>
    <row r="525" ht="15.75" customHeight="1">
      <c r="A525" s="145"/>
      <c r="B525" s="145"/>
      <c r="C525" s="145"/>
      <c r="D525" s="145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</row>
    <row r="526" ht="15.75" customHeight="1">
      <c r="A526" s="145"/>
      <c r="B526" s="145"/>
      <c r="C526" s="145"/>
      <c r="D526" s="145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</row>
    <row r="527" ht="15.75" customHeight="1">
      <c r="A527" s="145"/>
      <c r="B527" s="145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 ht="15.75" customHeight="1">
      <c r="A528" s="145"/>
      <c r="B528" s="145"/>
      <c r="C528" s="145"/>
      <c r="D528" s="145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</row>
    <row r="529" ht="15.75" customHeight="1">
      <c r="A529" s="145"/>
      <c r="B529" s="145"/>
      <c r="C529" s="145"/>
      <c r="D529" s="145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</row>
    <row r="530" ht="15.75" customHeight="1">
      <c r="A530" s="145"/>
      <c r="B530" s="145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</row>
    <row r="531" ht="15.75" customHeight="1">
      <c r="A531" s="145"/>
      <c r="B531" s="145"/>
      <c r="C531" s="145"/>
      <c r="D531" s="145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</row>
    <row r="532" ht="15.75" customHeight="1">
      <c r="A532" s="145"/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</row>
    <row r="533" ht="15.75" customHeight="1">
      <c r="A533" s="145"/>
      <c r="B533" s="145"/>
      <c r="C533" s="145"/>
      <c r="D533" s="145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</row>
    <row r="534" ht="15.75" customHeight="1">
      <c r="A534" s="145"/>
      <c r="B534" s="145"/>
      <c r="C534" s="145"/>
      <c r="D534" s="145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</row>
    <row r="535" ht="15.75" customHeight="1">
      <c r="A535" s="145"/>
      <c r="B535" s="145"/>
      <c r="C535" s="145"/>
      <c r="D535" s="145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</row>
    <row r="536" ht="15.75" customHeight="1">
      <c r="A536" s="145"/>
      <c r="B536" s="145"/>
      <c r="C536" s="145"/>
      <c r="D536" s="145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</row>
    <row r="537" ht="15.75" customHeight="1">
      <c r="A537" s="145"/>
      <c r="B537" s="145"/>
      <c r="C537" s="145"/>
      <c r="D537" s="145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</row>
    <row r="538" ht="15.75" customHeight="1">
      <c r="A538" s="145"/>
      <c r="B538" s="145"/>
      <c r="C538" s="145"/>
      <c r="D538" s="145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</row>
    <row r="539" ht="15.75" customHeight="1">
      <c r="A539" s="145"/>
      <c r="B539" s="145"/>
      <c r="C539" s="145"/>
      <c r="D539" s="145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</row>
    <row r="540" ht="15.75" customHeight="1">
      <c r="A540" s="145"/>
      <c r="B540" s="145"/>
      <c r="C540" s="145"/>
      <c r="D540" s="145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</row>
    <row r="541" ht="15.75" customHeight="1">
      <c r="A541" s="145"/>
      <c r="B541" s="145"/>
      <c r="C541" s="145"/>
      <c r="D541" s="145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</row>
    <row r="542" ht="15.75" customHeight="1">
      <c r="A542" s="145"/>
      <c r="B542" s="145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</row>
    <row r="543" ht="15.75" customHeight="1">
      <c r="A543" s="145"/>
      <c r="B543" s="145"/>
      <c r="C543" s="145"/>
      <c r="D543" s="145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</row>
    <row r="544" ht="15.75" customHeight="1">
      <c r="A544" s="145"/>
      <c r="B544" s="145"/>
      <c r="C544" s="145"/>
      <c r="D544" s="145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</row>
    <row r="545" ht="15.75" customHeight="1">
      <c r="A545" s="145"/>
      <c r="B545" s="145"/>
      <c r="C545" s="145"/>
      <c r="D545" s="145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</row>
    <row r="546" ht="15.75" customHeight="1">
      <c r="A546" s="145"/>
      <c r="B546" s="145"/>
      <c r="C546" s="145"/>
      <c r="D546" s="145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</row>
    <row r="547" ht="15.75" customHeight="1">
      <c r="A547" s="145"/>
      <c r="B547" s="145"/>
      <c r="C547" s="145"/>
      <c r="D547" s="145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</row>
    <row r="548" ht="15.75" customHeight="1">
      <c r="A548" s="145"/>
      <c r="B548" s="145"/>
      <c r="C548" s="145"/>
      <c r="D548" s="145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</row>
    <row r="549" ht="15.75" customHeight="1">
      <c r="A549" s="145"/>
      <c r="B549" s="145"/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</row>
    <row r="550" ht="15.75" customHeight="1">
      <c r="A550" s="145"/>
      <c r="B550" s="145"/>
      <c r="C550" s="145"/>
      <c r="D550" s="145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</row>
    <row r="551" ht="15.75" customHeight="1">
      <c r="A551" s="145"/>
      <c r="B551" s="145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 ht="15.75" customHeight="1">
      <c r="A552" s="145"/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</row>
    <row r="553" ht="15.75" customHeight="1">
      <c r="A553" s="145"/>
      <c r="B553" s="145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</row>
    <row r="554" ht="15.75" customHeight="1">
      <c r="A554" s="145"/>
      <c r="B554" s="145"/>
      <c r="C554" s="145"/>
      <c r="D554" s="145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</row>
    <row r="555" ht="15.75" customHeight="1">
      <c r="A555" s="145"/>
      <c r="B555" s="145"/>
      <c r="C555" s="145"/>
      <c r="D555" s="145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</row>
    <row r="556" ht="15.75" customHeight="1">
      <c r="A556" s="145"/>
      <c r="B556" s="145"/>
      <c r="C556" s="145"/>
      <c r="D556" s="145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</row>
    <row r="557" ht="15.75" customHeight="1">
      <c r="A557" s="145"/>
      <c r="B557" s="145"/>
      <c r="C557" s="145"/>
      <c r="D557" s="145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</row>
    <row r="558" ht="15.75" customHeight="1">
      <c r="A558" s="145"/>
      <c r="B558" s="145"/>
      <c r="C558" s="145"/>
      <c r="D558" s="145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</row>
    <row r="559" ht="15.75" customHeight="1">
      <c r="A559" s="145"/>
      <c r="B559" s="145"/>
      <c r="C559" s="145"/>
      <c r="D559" s="145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</row>
    <row r="560" ht="15.75" customHeight="1">
      <c r="A560" s="145"/>
      <c r="B560" s="145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</row>
    <row r="561" ht="15.75" customHeight="1">
      <c r="A561" s="145"/>
      <c r="B561" s="145"/>
      <c r="C561" s="145"/>
      <c r="D561" s="145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</row>
    <row r="562" ht="15.75" customHeight="1">
      <c r="A562" s="145"/>
      <c r="B562" s="145"/>
      <c r="C562" s="145"/>
      <c r="D562" s="145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</row>
    <row r="563" ht="15.75" customHeight="1">
      <c r="A563" s="145"/>
      <c r="B563" s="145"/>
      <c r="C563" s="145"/>
      <c r="D563" s="145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</row>
    <row r="564" ht="15.75" customHeight="1">
      <c r="A564" s="145"/>
      <c r="B564" s="145"/>
      <c r="C564" s="145"/>
      <c r="D564" s="145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</row>
    <row r="565" ht="15.75" customHeight="1">
      <c r="A565" s="145"/>
      <c r="B565" s="145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</row>
    <row r="566" ht="15.75" customHeight="1">
      <c r="A566" s="145"/>
      <c r="B566" s="145"/>
      <c r="C566" s="145"/>
      <c r="D566" s="145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</row>
    <row r="567" ht="15.75" customHeight="1">
      <c r="A567" s="145"/>
      <c r="B567" s="145"/>
      <c r="C567" s="145"/>
      <c r="D567" s="145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</row>
    <row r="568" ht="15.75" customHeight="1">
      <c r="A568" s="145"/>
      <c r="B568" s="145"/>
      <c r="C568" s="145"/>
      <c r="D568" s="145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</row>
    <row r="569" ht="15.75" customHeight="1">
      <c r="A569" s="145"/>
      <c r="B569" s="145"/>
      <c r="C569" s="145"/>
      <c r="D569" s="145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</row>
    <row r="570" ht="15.75" customHeight="1">
      <c r="A570" s="145"/>
      <c r="B570" s="145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</row>
    <row r="571" ht="15.75" customHeight="1">
      <c r="A571" s="145"/>
      <c r="B571" s="145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 ht="15.75" customHeight="1">
      <c r="A572" s="145"/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</row>
    <row r="573" ht="15.75" customHeight="1">
      <c r="A573" s="145"/>
      <c r="B573" s="145"/>
      <c r="C573" s="145"/>
      <c r="D573" s="145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</row>
    <row r="574" ht="15.75" customHeight="1">
      <c r="A574" s="145"/>
      <c r="B574" s="145"/>
      <c r="C574" s="145"/>
      <c r="D574" s="145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</row>
    <row r="575" ht="15.75" customHeight="1">
      <c r="A575" s="145"/>
      <c r="B575" s="145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</row>
    <row r="576" ht="15.75" customHeight="1">
      <c r="A576" s="145"/>
      <c r="B576" s="145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</row>
    <row r="577" ht="15.75" customHeight="1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</row>
    <row r="578" ht="15.75" customHeight="1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</row>
    <row r="579" ht="15.75" customHeight="1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</row>
    <row r="580" ht="15.75" customHeight="1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</row>
    <row r="581" ht="15.75" customHeight="1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</row>
    <row r="582" ht="15.75" customHeight="1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</row>
    <row r="583" ht="15.75" customHeight="1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</row>
    <row r="584" ht="15.75" customHeight="1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</row>
    <row r="585" ht="15.75" customHeight="1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</row>
    <row r="586" ht="15.75" customHeight="1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</row>
    <row r="587" ht="15.75" customHeight="1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</row>
    <row r="588" ht="15.75" customHeight="1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</row>
    <row r="589" ht="15.75" customHeight="1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</row>
    <row r="590" ht="15.75" customHeight="1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</row>
    <row r="591" ht="15.75" customHeight="1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</row>
    <row r="592" ht="15.75" customHeight="1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</row>
    <row r="593" ht="15.75" customHeight="1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</row>
    <row r="594" ht="15.75" customHeight="1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</row>
    <row r="595" ht="15.75" customHeight="1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</row>
    <row r="596" ht="15.75" customHeight="1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</row>
    <row r="597" ht="15.75" customHeight="1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</row>
    <row r="598" ht="15.75" customHeight="1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</row>
    <row r="599" ht="15.75" customHeight="1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</row>
    <row r="600" ht="15.75" customHeight="1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</row>
    <row r="601" ht="15.75" customHeight="1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</row>
    <row r="602" ht="15.75" customHeight="1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</row>
    <row r="603" ht="15.75" customHeight="1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</row>
    <row r="604" ht="15.75" customHeight="1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</row>
    <row r="605" ht="15.75" customHeight="1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</row>
    <row r="606" ht="15.75" customHeight="1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</row>
    <row r="607" ht="15.75" customHeight="1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</row>
    <row r="608" ht="15.75" customHeight="1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</row>
    <row r="609" ht="15.75" customHeight="1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</row>
    <row r="610" ht="15.75" customHeight="1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</row>
    <row r="611" ht="15.75" customHeight="1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</row>
    <row r="612" ht="15.75" customHeight="1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</row>
    <row r="613" ht="15.75" customHeight="1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 ht="15.75" customHeight="1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 ht="15.75" customHeight="1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 ht="15.75" customHeight="1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 ht="15.75" customHeight="1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 ht="15.75" customHeight="1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 ht="15.75" customHeight="1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 ht="15.75" customHeight="1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 ht="15.75" customHeight="1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 ht="15.75" customHeight="1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 ht="15.75" customHeight="1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 ht="15.75" customHeight="1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 ht="15.75" customHeight="1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 ht="15.75" customHeight="1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 ht="15.75" customHeight="1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 ht="15.75" customHeight="1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 ht="15.75" customHeight="1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 ht="15.75" customHeight="1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 ht="15.75" customHeight="1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 ht="15.75" customHeight="1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 ht="15.75" customHeight="1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 ht="15.75" customHeight="1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 ht="15.75" customHeight="1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 ht="15.75" customHeight="1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 ht="15.75" customHeight="1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 ht="15.75" customHeight="1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 ht="15.75" customHeight="1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 ht="15.75" customHeight="1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 ht="15.75" customHeight="1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 ht="15.75" customHeight="1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 ht="15.75" customHeight="1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 ht="15.75" customHeight="1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 ht="15.75" customHeight="1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 ht="15.75" customHeight="1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 ht="15.75" customHeight="1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 ht="15.75" customHeight="1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 ht="15.75" customHeight="1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 ht="15.75" customHeight="1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 ht="15.75" customHeight="1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 ht="15.75" customHeight="1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 ht="15.75" customHeight="1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 ht="15.75" customHeight="1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 ht="15.75" customHeight="1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 ht="15.75" customHeight="1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 ht="15.75" customHeight="1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 ht="15.75" customHeight="1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 ht="15.75" customHeight="1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 ht="15.75" customHeight="1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 ht="15.75" customHeight="1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 ht="15.75" customHeight="1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 ht="15.75" customHeight="1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 ht="15.75" customHeight="1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 ht="15.75" customHeight="1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 ht="15.75" customHeight="1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 ht="15.75" customHeight="1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 ht="15.75" customHeight="1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 ht="15.75" customHeight="1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 ht="15.75" customHeight="1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 ht="15.75" customHeight="1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 ht="15.75" customHeight="1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 ht="15.75" customHeight="1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 ht="15.75" customHeight="1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 ht="15.75" customHeight="1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 ht="15.75" customHeight="1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 ht="15.75" customHeight="1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 ht="15.75" customHeight="1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 ht="15.75" customHeight="1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 ht="15.75" customHeight="1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 ht="15.75" customHeight="1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 ht="15.75" customHeight="1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 ht="15.75" customHeight="1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 ht="15.75" customHeight="1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 ht="15.75" customHeight="1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 ht="15.75" customHeight="1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 ht="15.75" customHeight="1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 ht="15.75" customHeight="1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 ht="15.75" customHeight="1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 ht="15.75" customHeight="1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 ht="15.75" customHeight="1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 ht="15.75" customHeight="1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 ht="15.75" customHeight="1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 ht="15.75" customHeight="1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 ht="15.75" customHeight="1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 ht="15.75" customHeight="1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 ht="15.75" customHeight="1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 ht="15.75" customHeight="1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 ht="15.75" customHeight="1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 ht="15.75" customHeight="1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 ht="15.75" customHeight="1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 ht="15.75" customHeight="1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 ht="15.75" customHeight="1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 ht="15.75" customHeight="1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 ht="15.75" customHeight="1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 ht="15.75" customHeight="1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 ht="15.75" customHeight="1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 ht="15.75" customHeight="1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 ht="15.75" customHeight="1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 ht="15.75" customHeight="1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 ht="15.75" customHeight="1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 ht="15.75" customHeight="1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 ht="15.75" customHeight="1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 ht="15.75" customHeight="1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 ht="15.75" customHeight="1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 ht="15.75" customHeight="1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 ht="15.75" customHeight="1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 ht="15.75" customHeight="1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 ht="15.75" customHeight="1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 ht="15.75" customHeight="1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 ht="15.75" customHeight="1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 ht="15.75" customHeight="1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 ht="15.75" customHeight="1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 ht="15.75" customHeight="1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 ht="15.75" customHeight="1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 ht="15.75" customHeight="1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 ht="15.75" customHeight="1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 ht="15.75" customHeight="1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 ht="15.75" customHeight="1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 ht="15.75" customHeight="1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 ht="15.75" customHeight="1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 ht="15.75" customHeight="1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 ht="15.75" customHeight="1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 ht="15.75" customHeight="1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 ht="15.75" customHeight="1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 ht="15.75" customHeight="1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 ht="15.75" customHeight="1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 ht="15.75" customHeight="1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 ht="15.75" customHeight="1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 ht="15.75" customHeight="1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 ht="15.75" customHeight="1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 ht="15.75" customHeight="1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 ht="15.75" customHeight="1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 ht="15.75" customHeight="1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 ht="15.75" customHeight="1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 ht="15.75" customHeight="1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</row>
    <row r="747" ht="15.75" customHeight="1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</row>
    <row r="748" ht="15.75" customHeight="1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</row>
    <row r="749" ht="15.75" customHeight="1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 ht="15.75" customHeight="1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 ht="15.75" customHeight="1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 ht="15.75" customHeight="1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 ht="15.75" customHeight="1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 ht="15.75" customHeight="1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 ht="15.75" customHeight="1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 ht="15.75" customHeight="1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 ht="15.75" customHeight="1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 ht="15.75" customHeight="1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 ht="15.75" customHeight="1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 ht="15.75" customHeight="1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 ht="15.75" customHeight="1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 ht="15.75" customHeight="1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 ht="15.75" customHeight="1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 ht="15.75" customHeight="1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 ht="15.75" customHeight="1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 ht="15.75" customHeight="1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 ht="15.75" customHeight="1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 ht="15.75" customHeight="1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 ht="15.75" customHeight="1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 ht="15.75" customHeight="1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 ht="15.75" customHeight="1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 ht="15.75" customHeight="1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 ht="15.75" customHeight="1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 ht="15.75" customHeight="1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  <row r="775" ht="15.75" customHeight="1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</row>
    <row r="776" ht="15.75" customHeight="1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</row>
    <row r="777" ht="15.75" customHeight="1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</row>
    <row r="778" ht="15.75" customHeight="1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</row>
    <row r="779" ht="15.75" customHeight="1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</row>
    <row r="780" ht="15.75" customHeight="1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</row>
    <row r="781" ht="15.75" customHeight="1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</row>
    <row r="782" ht="15.75" customHeight="1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</row>
    <row r="783" ht="15.75" customHeight="1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</row>
    <row r="784" ht="15.75" customHeight="1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</row>
    <row r="785" ht="15.75" customHeight="1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</row>
    <row r="786" ht="15.75" customHeight="1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</row>
    <row r="787" ht="15.75" customHeight="1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</row>
    <row r="788" ht="15.75" customHeight="1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</row>
    <row r="789" ht="15.75" customHeight="1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</row>
    <row r="790" ht="15.75" customHeight="1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</row>
    <row r="791" ht="15.75" customHeight="1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</row>
    <row r="792" ht="15.75" customHeight="1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</row>
    <row r="793" ht="15.75" customHeight="1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</row>
    <row r="794" ht="15.75" customHeight="1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</row>
    <row r="795" ht="15.75" customHeight="1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</row>
    <row r="796" ht="15.75" customHeight="1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</row>
    <row r="797" ht="15.75" customHeight="1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</row>
    <row r="798" ht="15.75" customHeight="1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</row>
    <row r="799" ht="15.75" customHeight="1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</row>
    <row r="800" ht="15.75" customHeight="1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</row>
    <row r="801" ht="15.75" customHeight="1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</row>
    <row r="802" ht="15.75" customHeight="1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</row>
    <row r="803" ht="15.75" customHeight="1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</row>
    <row r="804" ht="15.75" customHeight="1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</row>
    <row r="805" ht="15.75" customHeight="1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</row>
    <row r="806" ht="15.75" customHeight="1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</row>
    <row r="807" ht="15.75" customHeight="1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</row>
    <row r="808" ht="15.75" customHeight="1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</row>
    <row r="809" ht="15.75" customHeight="1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</row>
    <row r="810" ht="15.75" customHeight="1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</row>
    <row r="811" ht="15.75" customHeight="1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</row>
    <row r="812" ht="15.75" customHeight="1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</row>
    <row r="813" ht="15.75" customHeight="1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</row>
    <row r="814" ht="15.75" customHeight="1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</row>
    <row r="815" ht="15.75" customHeight="1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</row>
    <row r="816" ht="15.75" customHeight="1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</row>
    <row r="817" ht="15.75" customHeight="1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</row>
    <row r="818" ht="15.75" customHeight="1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</row>
    <row r="819" ht="15.75" customHeight="1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</row>
    <row r="820" ht="15.75" customHeight="1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</row>
    <row r="821" ht="15.75" customHeight="1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</row>
    <row r="822" ht="15.75" customHeight="1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</row>
    <row r="823" ht="15.75" customHeight="1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</row>
    <row r="824" ht="15.75" customHeight="1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</row>
    <row r="825" ht="15.75" customHeight="1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</row>
    <row r="826" ht="15.75" customHeight="1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</row>
    <row r="827" ht="15.75" customHeight="1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</row>
    <row r="828" ht="15.75" customHeight="1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</row>
    <row r="829" ht="15.75" customHeight="1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</row>
    <row r="830" ht="15.75" customHeight="1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</row>
    <row r="831" ht="15.75" customHeight="1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</row>
    <row r="832" ht="15.75" customHeight="1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</row>
    <row r="833" ht="15.75" customHeight="1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</row>
    <row r="834" ht="15.75" customHeight="1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</row>
    <row r="835" ht="15.75" customHeight="1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</row>
    <row r="836" ht="15.75" customHeight="1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</row>
    <row r="837" ht="15.75" customHeight="1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</row>
    <row r="838" ht="15.75" customHeight="1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</row>
    <row r="839" ht="15.75" customHeight="1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</row>
    <row r="840" ht="15.75" customHeight="1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</row>
    <row r="841" ht="15.75" customHeight="1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</row>
    <row r="842" ht="15.75" customHeight="1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</row>
    <row r="843" ht="15.75" customHeight="1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</row>
    <row r="844" ht="15.75" customHeight="1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</row>
    <row r="845" ht="15.75" customHeight="1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</row>
    <row r="846" ht="15.75" customHeight="1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</row>
    <row r="847" ht="15.75" customHeight="1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</row>
    <row r="848" ht="15.75" customHeight="1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</row>
    <row r="849" ht="15.75" customHeight="1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</row>
    <row r="850" ht="15.75" customHeight="1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</row>
    <row r="851" ht="15.75" customHeight="1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</row>
    <row r="852" ht="15.75" customHeight="1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</row>
    <row r="853" ht="15.75" customHeight="1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</row>
    <row r="854" ht="15.75" customHeight="1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</row>
    <row r="855" ht="15.75" customHeight="1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</row>
    <row r="856" ht="15.75" customHeight="1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</row>
    <row r="857" ht="15.75" customHeight="1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</row>
    <row r="858" ht="15.75" customHeight="1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</row>
    <row r="859" ht="15.75" customHeight="1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</row>
    <row r="860" ht="15.75" customHeight="1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</row>
    <row r="861" ht="15.75" customHeight="1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</row>
    <row r="862" ht="15.75" customHeight="1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</row>
    <row r="863" ht="15.75" customHeight="1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</row>
    <row r="864" ht="15.75" customHeight="1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</row>
    <row r="865" ht="15.75" customHeight="1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</row>
    <row r="866" ht="15.75" customHeight="1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</row>
    <row r="867" ht="15.75" customHeight="1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</row>
    <row r="868" ht="15.75" customHeight="1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</row>
    <row r="869" ht="15.75" customHeight="1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</row>
    <row r="870" ht="15.75" customHeight="1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</row>
    <row r="871" ht="15.75" customHeight="1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</row>
    <row r="872" ht="15.75" customHeight="1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</row>
    <row r="873" ht="15.75" customHeight="1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</row>
    <row r="874" ht="15.75" customHeight="1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</row>
    <row r="875" ht="15.75" customHeight="1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</row>
    <row r="876" ht="15.75" customHeight="1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</row>
    <row r="877" ht="15.75" customHeight="1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</row>
    <row r="878" ht="15.75" customHeight="1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</row>
    <row r="879" ht="15.75" customHeight="1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</row>
    <row r="880" ht="15.75" customHeight="1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</row>
    <row r="881" ht="15.75" customHeight="1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</row>
    <row r="882" ht="15.75" customHeight="1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</row>
    <row r="883" ht="15.75" customHeight="1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</row>
    <row r="884" ht="15.75" customHeight="1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</row>
    <row r="885" ht="15.75" customHeight="1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</row>
    <row r="886" ht="15.75" customHeight="1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</row>
    <row r="887" ht="15.75" customHeight="1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</row>
    <row r="888" ht="15.75" customHeight="1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</row>
    <row r="889" ht="15.75" customHeight="1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</row>
    <row r="890" ht="15.75" customHeight="1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</row>
    <row r="891" ht="15.75" customHeight="1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</row>
    <row r="892" ht="15.75" customHeight="1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</row>
    <row r="893" ht="15.75" customHeight="1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</row>
    <row r="894" ht="15.75" customHeight="1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</row>
    <row r="895" ht="15.75" customHeight="1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</row>
    <row r="896" ht="15.75" customHeight="1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</row>
    <row r="897" ht="15.75" customHeight="1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</row>
    <row r="898" ht="15.75" customHeight="1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</row>
    <row r="899" ht="15.75" customHeight="1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</row>
    <row r="900" ht="15.75" customHeight="1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</row>
    <row r="901" ht="15.75" customHeight="1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</row>
    <row r="902" ht="15.75" customHeight="1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</row>
    <row r="903" ht="15.75" customHeight="1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</row>
    <row r="904" ht="15.75" customHeight="1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</row>
    <row r="905" ht="15.75" customHeight="1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</row>
    <row r="906" ht="15.75" customHeight="1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</row>
    <row r="907" ht="15.75" customHeight="1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</row>
    <row r="908" ht="15.75" customHeight="1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</row>
    <row r="909" ht="15.75" customHeight="1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</row>
    <row r="910" ht="15.75" customHeight="1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</row>
    <row r="911" ht="15.75" customHeight="1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</row>
    <row r="912" ht="15.75" customHeight="1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</row>
    <row r="913" ht="15.75" customHeight="1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</row>
    <row r="914" ht="15.75" customHeight="1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</row>
    <row r="915" ht="15.75" customHeight="1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</row>
    <row r="916" ht="15.75" customHeight="1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</row>
    <row r="917" ht="15.75" customHeight="1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</row>
    <row r="918" ht="15.75" customHeight="1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</row>
    <row r="919" ht="15.75" customHeight="1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</row>
    <row r="920" ht="15.75" customHeight="1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</row>
    <row r="921" ht="15.75" customHeight="1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</row>
    <row r="922" ht="15.75" customHeight="1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</row>
    <row r="923" ht="15.75" customHeight="1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</row>
    <row r="924" ht="15.75" customHeight="1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</row>
    <row r="925" ht="15.75" customHeight="1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</row>
    <row r="926" ht="15.75" customHeight="1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</row>
    <row r="927" ht="15.75" customHeight="1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</row>
    <row r="928" ht="15.75" customHeight="1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</row>
    <row r="929" ht="15.75" customHeight="1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</row>
    <row r="930" ht="15.75" customHeight="1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</row>
    <row r="931" ht="15.75" customHeight="1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</row>
    <row r="932" ht="15.75" customHeight="1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</row>
    <row r="933" ht="15.75" customHeight="1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</row>
    <row r="934" ht="15.75" customHeight="1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</row>
    <row r="935" ht="15.75" customHeight="1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</row>
    <row r="936" ht="15.75" customHeight="1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</row>
    <row r="937" ht="15.75" customHeight="1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</row>
    <row r="938" ht="15.75" customHeight="1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</row>
    <row r="939" ht="15.75" customHeight="1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</row>
    <row r="940" ht="15.75" customHeight="1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</row>
    <row r="941" ht="15.75" customHeight="1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</row>
    <row r="942" ht="15.75" customHeight="1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</row>
    <row r="943" ht="15.75" customHeight="1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</row>
    <row r="944" ht="15.75" customHeight="1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</row>
    <row r="945" ht="15.75" customHeight="1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</row>
    <row r="946" ht="15.75" customHeight="1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</row>
    <row r="947" ht="15.75" customHeight="1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</row>
    <row r="948" ht="15.75" customHeight="1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</row>
    <row r="949" ht="15.75" customHeight="1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</row>
    <row r="950" ht="15.75" customHeight="1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</row>
    <row r="951" ht="15.75" customHeight="1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</row>
    <row r="952" ht="15.75" customHeight="1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</row>
    <row r="953" ht="15.75" customHeight="1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</row>
    <row r="954" ht="15.75" customHeight="1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</row>
    <row r="955" ht="15.75" customHeight="1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</row>
    <row r="956" ht="15.75" customHeight="1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</row>
    <row r="957" ht="15.75" customHeight="1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</row>
    <row r="958" ht="15.75" customHeight="1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</row>
    <row r="959" ht="15.75" customHeight="1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</row>
    <row r="960" ht="15.75" customHeight="1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</row>
    <row r="961" ht="15.75" customHeight="1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</row>
    <row r="962" ht="15.75" customHeight="1">
      <c r="A962" s="145"/>
      <c r="B962" s="145"/>
      <c r="C962" s="145"/>
      <c r="D962" s="145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</row>
    <row r="963" ht="15.75" customHeight="1">
      <c r="A963" s="145"/>
      <c r="B963" s="145"/>
      <c r="C963" s="145"/>
      <c r="D963" s="145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</row>
    <row r="964" ht="15.75" customHeight="1">
      <c r="A964" s="145"/>
      <c r="B964" s="145"/>
      <c r="C964" s="145"/>
      <c r="D964" s="145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</row>
    <row r="965" ht="15.75" customHeight="1">
      <c r="A965" s="145"/>
      <c r="B965" s="145"/>
      <c r="C965" s="145"/>
      <c r="D965" s="145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</row>
    <row r="966" ht="15.75" customHeight="1">
      <c r="A966" s="145"/>
      <c r="B966" s="145"/>
      <c r="C966" s="145"/>
      <c r="D966" s="145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</row>
    <row r="967" ht="15.75" customHeight="1">
      <c r="A967" s="145"/>
      <c r="B967" s="145"/>
      <c r="C967" s="145"/>
      <c r="D967" s="145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</row>
    <row r="968" ht="15.75" customHeight="1">
      <c r="A968" s="145"/>
      <c r="B968" s="145"/>
      <c r="C968" s="145"/>
      <c r="D968" s="145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</row>
    <row r="969" ht="15.75" customHeight="1">
      <c r="A969" s="145"/>
      <c r="B969" s="145"/>
      <c r="C969" s="145"/>
      <c r="D969" s="145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</row>
    <row r="970" ht="15.75" customHeight="1">
      <c r="A970" s="145"/>
      <c r="B970" s="145"/>
      <c r="C970" s="145"/>
      <c r="D970" s="145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</row>
    <row r="971" ht="15.75" customHeight="1">
      <c r="A971" s="145"/>
      <c r="B971" s="145"/>
      <c r="C971" s="145"/>
      <c r="D971" s="145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</row>
    <row r="972" ht="15.75" customHeight="1">
      <c r="A972" s="145"/>
      <c r="B972" s="145"/>
      <c r="C972" s="145"/>
      <c r="D972" s="145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</row>
    <row r="973" ht="15.75" customHeight="1">
      <c r="A973" s="145"/>
      <c r="B973" s="145"/>
      <c r="C973" s="145"/>
      <c r="D973" s="145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</row>
    <row r="974" ht="15.75" customHeight="1">
      <c r="A974" s="145"/>
      <c r="B974" s="145"/>
      <c r="C974" s="145"/>
      <c r="D974" s="145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</row>
    <row r="975" ht="15.75" customHeight="1">
      <c r="A975" s="145"/>
      <c r="B975" s="145"/>
      <c r="C975" s="145"/>
      <c r="D975" s="145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</row>
    <row r="976" ht="15.75" customHeight="1">
      <c r="A976" s="145"/>
      <c r="B976" s="145"/>
      <c r="C976" s="145"/>
      <c r="D976" s="145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</row>
    <row r="977" ht="15.75" customHeight="1">
      <c r="A977" s="145"/>
      <c r="B977" s="145"/>
      <c r="C977" s="145"/>
      <c r="D977" s="145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</row>
    <row r="978" ht="15.75" customHeight="1">
      <c r="A978" s="145"/>
      <c r="B978" s="145"/>
      <c r="C978" s="145"/>
      <c r="D978" s="145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</row>
    <row r="979" ht="15.75" customHeight="1">
      <c r="A979" s="145"/>
      <c r="B979" s="145"/>
      <c r="C979" s="145"/>
      <c r="D979" s="145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</row>
    <row r="980" ht="15.75" customHeight="1">
      <c r="A980" s="145"/>
      <c r="B980" s="145"/>
      <c r="C980" s="145"/>
      <c r="D980" s="145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</row>
    <row r="981" ht="15.75" customHeight="1">
      <c r="A981" s="145"/>
      <c r="B981" s="145"/>
      <c r="C981" s="145"/>
      <c r="D981" s="145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</row>
    <row r="982" ht="15.75" customHeight="1">
      <c r="A982" s="145"/>
      <c r="B982" s="145"/>
      <c r="C982" s="145"/>
      <c r="D982" s="145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</row>
    <row r="983" ht="15.75" customHeight="1">
      <c r="A983" s="145"/>
      <c r="B983" s="145"/>
      <c r="C983" s="145"/>
      <c r="D983" s="145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</row>
    <row r="984" ht="15.75" customHeight="1">
      <c r="A984" s="145"/>
      <c r="B984" s="145"/>
      <c r="C984" s="145"/>
      <c r="D984" s="145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</row>
    <row r="985" ht="15.75" customHeight="1">
      <c r="A985" s="145"/>
      <c r="B985" s="145"/>
      <c r="C985" s="145"/>
      <c r="D985" s="145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</row>
    <row r="986" ht="15.75" customHeight="1">
      <c r="A986" s="145"/>
      <c r="B986" s="145"/>
      <c r="C986" s="145"/>
      <c r="D986" s="145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</row>
    <row r="987" ht="15.75" customHeight="1">
      <c r="A987" s="145"/>
      <c r="B987" s="145"/>
      <c r="C987" s="145"/>
      <c r="D987" s="145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</row>
    <row r="988" ht="15.75" customHeight="1">
      <c r="A988" s="145"/>
      <c r="B988" s="145"/>
      <c r="C988" s="145"/>
      <c r="D988" s="145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</row>
    <row r="989" ht="15.75" customHeight="1">
      <c r="A989" s="145"/>
      <c r="B989" s="145"/>
      <c r="C989" s="145"/>
      <c r="D989" s="145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</row>
    <row r="990" ht="15.75" customHeight="1">
      <c r="A990" s="145"/>
      <c r="B990" s="145"/>
      <c r="C990" s="145"/>
      <c r="D990" s="145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</row>
    <row r="991" ht="15.75" customHeight="1">
      <c r="A991" s="145"/>
      <c r="B991" s="145"/>
      <c r="C991" s="145"/>
      <c r="D991" s="145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</row>
    <row r="992" ht="15.75" customHeight="1">
      <c r="A992" s="145"/>
      <c r="B992" s="145"/>
      <c r="C992" s="145"/>
      <c r="D992" s="145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</row>
    <row r="993" ht="15.75" customHeight="1">
      <c r="A993" s="145"/>
      <c r="B993" s="145"/>
      <c r="C993" s="145"/>
      <c r="D993" s="145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</row>
    <row r="994" ht="15.75" customHeight="1">
      <c r="A994" s="145"/>
      <c r="B994" s="145"/>
      <c r="C994" s="145"/>
      <c r="D994" s="145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</row>
    <row r="995" ht="15.75" customHeight="1">
      <c r="A995" s="145"/>
      <c r="B995" s="145"/>
      <c r="C995" s="145"/>
      <c r="D995" s="145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</row>
    <row r="996" ht="15.75" customHeight="1">
      <c r="A996" s="145"/>
      <c r="B996" s="145"/>
      <c r="C996" s="145"/>
      <c r="D996" s="145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</row>
    <row r="997" ht="15.75" customHeight="1">
      <c r="A997" s="145"/>
      <c r="B997" s="145"/>
      <c r="C997" s="145"/>
      <c r="D997" s="145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</row>
    <row r="998" ht="15.75" customHeight="1">
      <c r="A998" s="145"/>
      <c r="B998" s="145"/>
      <c r="C998" s="145"/>
      <c r="D998" s="145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</row>
    <row r="999" ht="15.75" customHeight="1">
      <c r="A999" s="145"/>
      <c r="B999" s="145"/>
      <c r="C999" s="145"/>
      <c r="D999" s="145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</row>
    <row r="1000" ht="15.75" customHeight="1">
      <c r="A1000" s="145"/>
      <c r="B1000" s="145"/>
      <c r="C1000" s="145"/>
      <c r="D1000" s="145"/>
      <c r="E1000" s="145"/>
      <c r="F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</row>
  </sheetData>
  <mergeCells count="3">
    <mergeCell ref="A1:H1"/>
    <mergeCell ref="A3:H3"/>
    <mergeCell ref="A12:H1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6.71"/>
    <col customWidth="1" min="3" max="4" width="34.29"/>
    <col customWidth="1" min="5" max="5" width="28.57"/>
    <col customWidth="1" min="6" max="6" width="19.0"/>
    <col customWidth="1" min="7" max="7" width="17.14"/>
    <col customWidth="1" min="8" max="8" width="24.71"/>
    <col customWidth="1" min="9" max="26" width="8.71"/>
  </cols>
  <sheetData>
    <row r="1" ht="45.0" customHeight="1">
      <c r="A1" s="144" t="s">
        <v>520</v>
      </c>
      <c r="B1" s="57"/>
      <c r="C1" s="57"/>
      <c r="D1" s="57"/>
      <c r="E1" s="57"/>
      <c r="F1" s="57"/>
      <c r="G1" s="57"/>
      <c r="H1" s="58"/>
      <c r="I1" s="59"/>
      <c r="J1" s="59"/>
      <c r="K1" s="59"/>
      <c r="L1" s="59"/>
    </row>
    <row r="2" ht="6.0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ht="32.25" customHeight="1">
      <c r="A3" s="166" t="s">
        <v>521</v>
      </c>
      <c r="B3" s="57"/>
      <c r="C3" s="57"/>
      <c r="D3" s="57"/>
      <c r="E3" s="57"/>
      <c r="F3" s="57"/>
      <c r="G3" s="57"/>
      <c r="H3" s="58"/>
      <c r="I3" s="59"/>
      <c r="J3" s="59"/>
      <c r="K3" s="59"/>
      <c r="L3" s="59"/>
    </row>
    <row r="4" ht="27.75" customHeight="1">
      <c r="A4" s="203" t="s">
        <v>522</v>
      </c>
      <c r="B4" s="203" t="s">
        <v>111</v>
      </c>
      <c r="C4" s="203" t="s">
        <v>523</v>
      </c>
      <c r="D4" s="203" t="s">
        <v>524</v>
      </c>
      <c r="E4" s="203" t="s">
        <v>525</v>
      </c>
      <c r="F4" s="203" t="s">
        <v>526</v>
      </c>
      <c r="G4" s="203" t="s">
        <v>127</v>
      </c>
      <c r="H4" s="203" t="s">
        <v>527</v>
      </c>
      <c r="I4" s="59"/>
      <c r="J4" s="59"/>
      <c r="K4" s="59"/>
      <c r="L4" s="59"/>
    </row>
    <row r="5" ht="60.0" customHeight="1">
      <c r="A5" s="204">
        <v>1.0</v>
      </c>
      <c r="B5" s="205" t="s">
        <v>528</v>
      </c>
      <c r="C5" s="205" t="s">
        <v>529</v>
      </c>
      <c r="D5" s="205" t="s">
        <v>530</v>
      </c>
      <c r="E5" s="205" t="s">
        <v>531</v>
      </c>
      <c r="F5" s="205" t="s">
        <v>532</v>
      </c>
      <c r="G5" s="205" t="s">
        <v>533</v>
      </c>
      <c r="H5" s="205" t="s">
        <v>534</v>
      </c>
      <c r="I5" s="59"/>
      <c r="J5" s="59"/>
      <c r="K5" s="59"/>
      <c r="L5" s="59"/>
    </row>
    <row r="6" ht="60.0" customHeight="1">
      <c r="A6" s="206">
        <v>2.0</v>
      </c>
      <c r="B6" s="207" t="s">
        <v>535</v>
      </c>
      <c r="C6" s="207" t="s">
        <v>536</v>
      </c>
      <c r="D6" s="207" t="s">
        <v>537</v>
      </c>
      <c r="E6" s="207" t="s">
        <v>538</v>
      </c>
      <c r="F6" s="207" t="s">
        <v>539</v>
      </c>
      <c r="G6" s="207" t="s">
        <v>540</v>
      </c>
      <c r="H6" s="207" t="s">
        <v>541</v>
      </c>
      <c r="I6" s="59"/>
      <c r="J6" s="59"/>
      <c r="K6" s="59"/>
      <c r="L6" s="59"/>
    </row>
    <row r="7" ht="60.0" customHeight="1">
      <c r="A7" s="204">
        <v>3.0</v>
      </c>
      <c r="B7" s="205" t="s">
        <v>542</v>
      </c>
      <c r="C7" s="205" t="s">
        <v>543</v>
      </c>
      <c r="D7" s="205" t="s">
        <v>544</v>
      </c>
      <c r="E7" s="205" t="s">
        <v>545</v>
      </c>
      <c r="F7" s="205" t="s">
        <v>546</v>
      </c>
      <c r="G7" s="205" t="s">
        <v>547</v>
      </c>
      <c r="H7" s="205" t="s">
        <v>548</v>
      </c>
      <c r="I7" s="59"/>
      <c r="J7" s="59"/>
      <c r="K7" s="59"/>
      <c r="L7" s="59"/>
    </row>
    <row r="8" ht="60.0" customHeight="1">
      <c r="A8" s="206">
        <v>4.0</v>
      </c>
      <c r="B8" s="207" t="s">
        <v>549</v>
      </c>
      <c r="C8" s="207" t="s">
        <v>550</v>
      </c>
      <c r="D8" s="207" t="s">
        <v>551</v>
      </c>
      <c r="E8" s="207" t="s">
        <v>552</v>
      </c>
      <c r="F8" s="207" t="s">
        <v>553</v>
      </c>
      <c r="G8" s="207" t="s">
        <v>554</v>
      </c>
      <c r="H8" s="207" t="s">
        <v>555</v>
      </c>
      <c r="I8" s="59"/>
      <c r="J8" s="59"/>
      <c r="K8" s="59"/>
      <c r="L8" s="59"/>
    </row>
    <row r="9" ht="60.0" customHeight="1">
      <c r="A9" s="204">
        <v>5.0</v>
      </c>
      <c r="B9" s="205" t="s">
        <v>556</v>
      </c>
      <c r="C9" s="205" t="s">
        <v>557</v>
      </c>
      <c r="D9" s="205" t="s">
        <v>558</v>
      </c>
      <c r="E9" s="205" t="s">
        <v>559</v>
      </c>
      <c r="F9" s="205" t="s">
        <v>560</v>
      </c>
      <c r="G9" s="205" t="s">
        <v>561</v>
      </c>
      <c r="H9" s="205" t="s">
        <v>562</v>
      </c>
      <c r="I9" s="59"/>
      <c r="J9" s="59"/>
      <c r="K9" s="59"/>
      <c r="L9" s="59"/>
    </row>
    <row r="10" ht="6.0" customHeight="1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</row>
    <row r="11" ht="32.25" customHeight="1">
      <c r="A11" s="191" t="s">
        <v>563</v>
      </c>
      <c r="B11" s="57"/>
      <c r="C11" s="57"/>
      <c r="D11" s="57"/>
      <c r="E11" s="57"/>
      <c r="F11" s="57"/>
      <c r="G11" s="57"/>
      <c r="H11" s="58"/>
      <c r="I11" s="59"/>
      <c r="J11" s="59"/>
      <c r="K11" s="59"/>
      <c r="L11" s="59"/>
    </row>
    <row r="12" ht="27.75" customHeight="1">
      <c r="A12" s="208" t="s">
        <v>124</v>
      </c>
      <c r="B12" s="208" t="s">
        <v>125</v>
      </c>
      <c r="C12" s="208" t="s">
        <v>564</v>
      </c>
      <c r="D12" s="208" t="s">
        <v>127</v>
      </c>
      <c r="E12" s="208" t="s">
        <v>565</v>
      </c>
      <c r="F12" s="208" t="s">
        <v>566</v>
      </c>
      <c r="G12" s="208" t="s">
        <v>567</v>
      </c>
      <c r="H12" s="208" t="s">
        <v>527</v>
      </c>
      <c r="I12" s="59"/>
      <c r="J12" s="59"/>
      <c r="K12" s="59"/>
      <c r="L12" s="59"/>
    </row>
    <row r="13" ht="39.75" customHeight="1">
      <c r="A13" s="209" t="s">
        <v>568</v>
      </c>
      <c r="B13" s="205" t="s">
        <v>569</v>
      </c>
      <c r="C13" s="205" t="s">
        <v>570</v>
      </c>
      <c r="D13" s="205" t="s">
        <v>571</v>
      </c>
      <c r="E13" s="205" t="s">
        <v>572</v>
      </c>
      <c r="F13" s="205" t="s">
        <v>573</v>
      </c>
      <c r="G13" s="210">
        <v>0.6</v>
      </c>
      <c r="H13" s="205" t="s">
        <v>574</v>
      </c>
      <c r="I13" s="59"/>
      <c r="J13" s="59"/>
      <c r="K13" s="59"/>
      <c r="L13" s="59"/>
    </row>
    <row r="14" ht="39.75" customHeight="1">
      <c r="A14" s="211" t="s">
        <v>575</v>
      </c>
      <c r="B14" s="207" t="s">
        <v>576</v>
      </c>
      <c r="C14" s="207" t="s">
        <v>577</v>
      </c>
      <c r="D14" s="207" t="s">
        <v>135</v>
      </c>
      <c r="E14" s="207" t="s">
        <v>578</v>
      </c>
      <c r="F14" s="207" t="s">
        <v>579</v>
      </c>
      <c r="G14" s="212">
        <v>0.45</v>
      </c>
      <c r="H14" s="207" t="s">
        <v>580</v>
      </c>
      <c r="I14" s="59"/>
      <c r="J14" s="59"/>
      <c r="K14" s="59"/>
      <c r="L14" s="59"/>
    </row>
    <row r="15" ht="39.75" customHeight="1">
      <c r="A15" s="209" t="s">
        <v>581</v>
      </c>
      <c r="B15" s="205" t="s">
        <v>582</v>
      </c>
      <c r="C15" s="205" t="s">
        <v>583</v>
      </c>
      <c r="D15" s="205" t="s">
        <v>584</v>
      </c>
      <c r="E15" s="205" t="s">
        <v>585</v>
      </c>
      <c r="F15" s="205" t="s">
        <v>586</v>
      </c>
      <c r="G15" s="210">
        <v>0.4</v>
      </c>
      <c r="H15" s="205" t="s">
        <v>587</v>
      </c>
      <c r="I15" s="59"/>
      <c r="J15" s="59"/>
      <c r="K15" s="59"/>
      <c r="L15" s="59"/>
    </row>
    <row r="16" ht="39.75" customHeight="1">
      <c r="A16" s="211" t="s">
        <v>588</v>
      </c>
      <c r="B16" s="207" t="s">
        <v>589</v>
      </c>
      <c r="C16" s="207" t="s">
        <v>590</v>
      </c>
      <c r="D16" s="207" t="s">
        <v>591</v>
      </c>
      <c r="E16" s="207" t="s">
        <v>592</v>
      </c>
      <c r="F16" s="207" t="s">
        <v>593</v>
      </c>
      <c r="G16" s="212">
        <v>0.42</v>
      </c>
      <c r="H16" s="207" t="s">
        <v>594</v>
      </c>
      <c r="I16" s="59"/>
      <c r="J16" s="59"/>
      <c r="K16" s="59"/>
      <c r="L16" s="59"/>
    </row>
    <row r="17" ht="39.75" customHeight="1">
      <c r="A17" s="209" t="s">
        <v>595</v>
      </c>
      <c r="B17" s="205" t="s">
        <v>596</v>
      </c>
      <c r="C17" s="205" t="s">
        <v>597</v>
      </c>
      <c r="D17" s="205" t="s">
        <v>598</v>
      </c>
      <c r="E17" s="205" t="s">
        <v>599</v>
      </c>
      <c r="F17" s="205" t="s">
        <v>600</v>
      </c>
      <c r="G17" s="210">
        <v>0.35</v>
      </c>
      <c r="H17" s="205" t="s">
        <v>147</v>
      </c>
      <c r="I17" s="59"/>
      <c r="J17" s="59"/>
      <c r="K17" s="59"/>
      <c r="L17" s="59"/>
    </row>
    <row r="18" ht="39.75" customHeight="1">
      <c r="A18" s="211" t="s">
        <v>601</v>
      </c>
      <c r="B18" s="207" t="s">
        <v>602</v>
      </c>
      <c r="C18" s="207" t="s">
        <v>603</v>
      </c>
      <c r="D18" s="207" t="s">
        <v>604</v>
      </c>
      <c r="E18" s="207" t="s">
        <v>605</v>
      </c>
      <c r="F18" s="207" t="s">
        <v>606</v>
      </c>
      <c r="G18" s="212">
        <v>0.3</v>
      </c>
      <c r="H18" s="207" t="s">
        <v>607</v>
      </c>
      <c r="I18" s="59"/>
      <c r="J18" s="59"/>
      <c r="K18" s="59"/>
      <c r="L18" s="59"/>
    </row>
    <row r="19" ht="39.75" customHeight="1">
      <c r="A19" s="209" t="s">
        <v>608</v>
      </c>
      <c r="B19" s="205" t="s">
        <v>609</v>
      </c>
      <c r="C19" s="205" t="s">
        <v>610</v>
      </c>
      <c r="D19" s="205" t="s">
        <v>611</v>
      </c>
      <c r="E19" s="205" t="s">
        <v>612</v>
      </c>
      <c r="F19" s="205" t="s">
        <v>613</v>
      </c>
      <c r="G19" s="210">
        <v>0.38</v>
      </c>
      <c r="H19" s="205" t="s">
        <v>614</v>
      </c>
      <c r="I19" s="59"/>
      <c r="J19" s="59"/>
      <c r="K19" s="59"/>
      <c r="L19" s="59"/>
    </row>
    <row r="20" ht="39.75" customHeight="1">
      <c r="A20" s="211" t="s">
        <v>615</v>
      </c>
      <c r="B20" s="207" t="s">
        <v>616</v>
      </c>
      <c r="C20" s="207" t="s">
        <v>617</v>
      </c>
      <c r="D20" s="207" t="s">
        <v>618</v>
      </c>
      <c r="E20" s="207" t="s">
        <v>619</v>
      </c>
      <c r="F20" s="207" t="s">
        <v>620</v>
      </c>
      <c r="G20" s="212">
        <v>0.35</v>
      </c>
      <c r="H20" s="207" t="s">
        <v>621</v>
      </c>
      <c r="I20" s="59"/>
      <c r="J20" s="59"/>
      <c r="K20" s="59"/>
      <c r="L20" s="59"/>
    </row>
    <row r="21" ht="6.0" customHeigh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ht="32.25" customHeight="1">
      <c r="A22" s="178" t="s">
        <v>622</v>
      </c>
      <c r="B22" s="57"/>
      <c r="C22" s="57"/>
      <c r="D22" s="57"/>
      <c r="E22" s="57"/>
      <c r="F22" s="57"/>
      <c r="G22" s="57"/>
      <c r="H22" s="58"/>
      <c r="I22" s="59"/>
      <c r="J22" s="59"/>
      <c r="K22" s="59"/>
      <c r="L22" s="59"/>
    </row>
    <row r="23" ht="15.75" customHeight="1">
      <c r="A23" s="213" t="s">
        <v>623</v>
      </c>
      <c r="B23" s="213" t="s">
        <v>624</v>
      </c>
      <c r="C23" s="213" t="s">
        <v>625</v>
      </c>
      <c r="D23" s="213" t="s">
        <v>626</v>
      </c>
      <c r="E23" s="213" t="s">
        <v>627</v>
      </c>
      <c r="F23" s="213" t="s">
        <v>351</v>
      </c>
      <c r="G23" s="213" t="s">
        <v>216</v>
      </c>
      <c r="H23" s="213" t="s">
        <v>527</v>
      </c>
      <c r="I23" s="59"/>
      <c r="J23" s="59"/>
      <c r="K23" s="59"/>
      <c r="L23" s="59"/>
    </row>
    <row r="24" ht="39.75" customHeight="1">
      <c r="A24" s="209" t="s">
        <v>492</v>
      </c>
      <c r="B24" s="205" t="s">
        <v>628</v>
      </c>
      <c r="C24" s="205" t="s">
        <v>629</v>
      </c>
      <c r="D24" s="205" t="s">
        <v>630</v>
      </c>
      <c r="E24" s="205" t="s">
        <v>631</v>
      </c>
      <c r="F24" s="205" t="s">
        <v>632</v>
      </c>
      <c r="G24" s="205" t="s">
        <v>359</v>
      </c>
      <c r="H24" s="205" t="s">
        <v>633</v>
      </c>
      <c r="I24" s="59"/>
      <c r="J24" s="59"/>
      <c r="K24" s="59"/>
      <c r="L24" s="59"/>
    </row>
    <row r="25" ht="39.75" customHeight="1">
      <c r="A25" s="211" t="s">
        <v>634</v>
      </c>
      <c r="B25" s="207" t="s">
        <v>635</v>
      </c>
      <c r="C25" s="207" t="s">
        <v>636</v>
      </c>
      <c r="D25" s="207" t="s">
        <v>637</v>
      </c>
      <c r="E25" s="207" t="s">
        <v>638</v>
      </c>
      <c r="F25" s="207" t="s">
        <v>632</v>
      </c>
      <c r="G25" s="207" t="s">
        <v>359</v>
      </c>
      <c r="H25" s="207" t="s">
        <v>639</v>
      </c>
      <c r="I25" s="59"/>
      <c r="J25" s="59"/>
      <c r="K25" s="59"/>
      <c r="L25" s="59"/>
    </row>
    <row r="26" ht="39.75" customHeight="1">
      <c r="A26" s="209" t="s">
        <v>500</v>
      </c>
      <c r="B26" s="205" t="s">
        <v>640</v>
      </c>
      <c r="C26" s="205" t="s">
        <v>641</v>
      </c>
      <c r="D26" s="205" t="s">
        <v>642</v>
      </c>
      <c r="E26" s="205" t="s">
        <v>643</v>
      </c>
      <c r="F26" s="205" t="s">
        <v>632</v>
      </c>
      <c r="G26" s="205" t="s">
        <v>359</v>
      </c>
      <c r="H26" s="205" t="s">
        <v>644</v>
      </c>
      <c r="I26" s="59"/>
      <c r="J26" s="59"/>
      <c r="K26" s="59"/>
      <c r="L26" s="59"/>
    </row>
    <row r="27" ht="39.75" customHeight="1">
      <c r="A27" s="211" t="s">
        <v>645</v>
      </c>
      <c r="B27" s="207" t="s">
        <v>646</v>
      </c>
      <c r="C27" s="207" t="s">
        <v>647</v>
      </c>
      <c r="D27" s="207" t="s">
        <v>648</v>
      </c>
      <c r="E27" s="207" t="s">
        <v>649</v>
      </c>
      <c r="F27" s="207" t="s">
        <v>650</v>
      </c>
      <c r="G27" s="207" t="s">
        <v>359</v>
      </c>
      <c r="H27" s="207" t="s">
        <v>651</v>
      </c>
      <c r="I27" s="59"/>
      <c r="J27" s="59"/>
      <c r="K27" s="59"/>
      <c r="L27" s="59"/>
    </row>
    <row r="28" ht="39.75" customHeight="1">
      <c r="A28" s="209" t="s">
        <v>518</v>
      </c>
      <c r="B28" s="205" t="s">
        <v>652</v>
      </c>
      <c r="C28" s="205" t="s">
        <v>653</v>
      </c>
      <c r="D28" s="205" t="s">
        <v>654</v>
      </c>
      <c r="E28" s="205" t="s">
        <v>655</v>
      </c>
      <c r="F28" s="205" t="s">
        <v>650</v>
      </c>
      <c r="G28" s="205" t="s">
        <v>359</v>
      </c>
      <c r="H28" s="205" t="s">
        <v>656</v>
      </c>
      <c r="I28" s="59"/>
      <c r="J28" s="59"/>
      <c r="K28" s="59"/>
      <c r="L28" s="59"/>
    </row>
    <row r="29" ht="6.0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</row>
    <row r="30" ht="32.25" customHeight="1">
      <c r="A30" s="148" t="s">
        <v>657</v>
      </c>
      <c r="B30" s="57"/>
      <c r="C30" s="57"/>
      <c r="D30" s="57"/>
      <c r="E30" s="57"/>
      <c r="F30" s="57"/>
      <c r="G30" s="57"/>
      <c r="H30" s="58"/>
      <c r="I30" s="59"/>
      <c r="J30" s="59"/>
      <c r="K30" s="59"/>
      <c r="L30" s="59"/>
    </row>
    <row r="31" ht="15.75" customHeight="1">
      <c r="A31" s="214" t="s">
        <v>623</v>
      </c>
      <c r="B31" s="214" t="s">
        <v>658</v>
      </c>
      <c r="C31" s="214" t="s">
        <v>659</v>
      </c>
      <c r="D31" s="214" t="s">
        <v>660</v>
      </c>
      <c r="E31" s="214" t="s">
        <v>661</v>
      </c>
      <c r="F31" s="214" t="s">
        <v>127</v>
      </c>
      <c r="G31" s="214" t="s">
        <v>627</v>
      </c>
      <c r="H31" s="214" t="s">
        <v>527</v>
      </c>
      <c r="I31" s="59"/>
      <c r="J31" s="59"/>
      <c r="K31" s="59"/>
      <c r="L31" s="59"/>
    </row>
    <row r="32" ht="39.75" customHeight="1">
      <c r="A32" s="205" t="s">
        <v>662</v>
      </c>
      <c r="B32" s="205" t="s">
        <v>663</v>
      </c>
      <c r="C32" s="205" t="s">
        <v>664</v>
      </c>
      <c r="D32" s="205" t="s">
        <v>665</v>
      </c>
      <c r="E32" s="205" t="s">
        <v>666</v>
      </c>
      <c r="F32" s="205" t="s">
        <v>667</v>
      </c>
      <c r="G32" s="205" t="s">
        <v>668</v>
      </c>
      <c r="H32" s="205" t="s">
        <v>669</v>
      </c>
      <c r="I32" s="59"/>
      <c r="J32" s="59"/>
      <c r="K32" s="59"/>
      <c r="L32" s="59"/>
    </row>
    <row r="33" ht="39.75" customHeight="1">
      <c r="A33" s="207" t="s">
        <v>670</v>
      </c>
      <c r="B33" s="207" t="s">
        <v>632</v>
      </c>
      <c r="C33" s="207" t="s">
        <v>671</v>
      </c>
      <c r="D33" s="207" t="s">
        <v>672</v>
      </c>
      <c r="E33" s="207" t="s">
        <v>673</v>
      </c>
      <c r="F33" s="207" t="s">
        <v>674</v>
      </c>
      <c r="G33" s="207" t="s">
        <v>675</v>
      </c>
      <c r="H33" s="207" t="s">
        <v>676</v>
      </c>
      <c r="I33" s="59"/>
      <c r="J33" s="59"/>
      <c r="K33" s="59"/>
      <c r="L33" s="59"/>
    </row>
    <row r="34" ht="39.75" customHeight="1">
      <c r="A34" s="205" t="s">
        <v>677</v>
      </c>
      <c r="B34" s="205" t="s">
        <v>663</v>
      </c>
      <c r="C34" s="205" t="s">
        <v>678</v>
      </c>
      <c r="D34" s="205" t="s">
        <v>679</v>
      </c>
      <c r="E34" s="205" t="s">
        <v>680</v>
      </c>
      <c r="F34" s="205" t="s">
        <v>681</v>
      </c>
      <c r="G34" s="205" t="s">
        <v>682</v>
      </c>
      <c r="H34" s="205" t="s">
        <v>683</v>
      </c>
      <c r="I34" s="59"/>
      <c r="J34" s="59"/>
      <c r="K34" s="59"/>
      <c r="L34" s="59"/>
    </row>
    <row r="35" ht="39.75" customHeight="1">
      <c r="A35" s="207" t="s">
        <v>684</v>
      </c>
      <c r="B35" s="207" t="s">
        <v>685</v>
      </c>
      <c r="C35" s="207" t="s">
        <v>686</v>
      </c>
      <c r="D35" s="207" t="s">
        <v>687</v>
      </c>
      <c r="E35" s="207" t="s">
        <v>688</v>
      </c>
      <c r="F35" s="207" t="s">
        <v>689</v>
      </c>
      <c r="G35" s="207" t="s">
        <v>690</v>
      </c>
      <c r="H35" s="207" t="s">
        <v>691</v>
      </c>
      <c r="I35" s="59"/>
      <c r="J35" s="59"/>
      <c r="K35" s="59"/>
      <c r="L35" s="59"/>
    </row>
    <row r="36" ht="15.7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</row>
    <row r="37" ht="15.7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</row>
    <row r="38" ht="15.7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</row>
    <row r="39" ht="15.7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</row>
    <row r="40" ht="15.7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</row>
    <row r="41" ht="15.7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</row>
    <row r="42" ht="15.7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</row>
    <row r="43" ht="15.7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</row>
    <row r="44" ht="15.7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</row>
    <row r="45" ht="15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ht="15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ht="15.7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ht="15.7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ht="15.7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0" ht="15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</row>
    <row r="51" ht="15.7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</row>
    <row r="52" ht="15.7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</row>
    <row r="53" ht="15.7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</row>
    <row r="54" ht="15.7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</row>
    <row r="55" ht="15.7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</row>
    <row r="56" ht="15.7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</row>
    <row r="57" ht="15.7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</row>
    <row r="59" ht="15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</row>
    <row r="60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3:H3"/>
    <mergeCell ref="A11:H11"/>
    <mergeCell ref="A22:H22"/>
    <mergeCell ref="A30:H3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3" width="30.43"/>
    <col customWidth="1" min="4" max="4" width="22.86"/>
    <col customWidth="1" min="5" max="5" width="34.29"/>
    <col customWidth="1" min="6" max="6" width="28.57"/>
    <col customWidth="1" min="7" max="7" width="19.0"/>
    <col customWidth="1" min="8" max="8" width="21.0"/>
    <col customWidth="1" min="9" max="26" width="8.71"/>
  </cols>
  <sheetData>
    <row r="1" ht="45.0" customHeight="1">
      <c r="A1" s="144" t="s">
        <v>692</v>
      </c>
      <c r="B1" s="57"/>
      <c r="C1" s="57"/>
      <c r="D1" s="57"/>
      <c r="E1" s="57"/>
      <c r="F1" s="57"/>
      <c r="G1" s="57"/>
      <c r="H1" s="58"/>
      <c r="I1" s="59"/>
      <c r="J1" s="59"/>
      <c r="K1" s="59"/>
      <c r="L1" s="59"/>
    </row>
    <row r="2" ht="6.0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ht="32.25" customHeight="1">
      <c r="A3" s="166" t="s">
        <v>693</v>
      </c>
      <c r="B3" s="57"/>
      <c r="C3" s="57"/>
      <c r="D3" s="57"/>
      <c r="E3" s="57"/>
      <c r="F3" s="57"/>
      <c r="G3" s="57"/>
      <c r="H3" s="58"/>
      <c r="I3" s="59"/>
      <c r="J3" s="59"/>
      <c r="K3" s="59"/>
      <c r="L3" s="59"/>
    </row>
    <row r="4" ht="27.75" customHeight="1">
      <c r="A4" s="203" t="s">
        <v>694</v>
      </c>
      <c r="B4" s="203" t="s">
        <v>695</v>
      </c>
      <c r="C4" s="203" t="s">
        <v>111</v>
      </c>
      <c r="D4" s="203" t="s">
        <v>351</v>
      </c>
      <c r="E4" s="203" t="s">
        <v>485</v>
      </c>
      <c r="F4" s="203" t="s">
        <v>696</v>
      </c>
      <c r="G4" s="203" t="s">
        <v>697</v>
      </c>
      <c r="H4" s="203" t="s">
        <v>216</v>
      </c>
      <c r="I4" s="59"/>
      <c r="J4" s="59"/>
      <c r="K4" s="59"/>
      <c r="L4" s="59"/>
    </row>
    <row r="5" ht="39.75" customHeight="1">
      <c r="A5" s="215">
        <v>1.0</v>
      </c>
      <c r="B5" s="205" t="s">
        <v>698</v>
      </c>
      <c r="C5" s="205" t="s">
        <v>699</v>
      </c>
      <c r="D5" s="205" t="s">
        <v>700</v>
      </c>
      <c r="E5" s="205" t="s">
        <v>701</v>
      </c>
      <c r="F5" s="205" t="s">
        <v>702</v>
      </c>
      <c r="G5" s="205" t="s">
        <v>703</v>
      </c>
      <c r="H5" s="205" t="s">
        <v>704</v>
      </c>
      <c r="I5" s="59"/>
      <c r="J5" s="59"/>
      <c r="K5" s="59"/>
      <c r="L5" s="59"/>
    </row>
    <row r="6" ht="39.75" customHeight="1">
      <c r="A6" s="216">
        <v>2.0</v>
      </c>
      <c r="B6" s="207" t="s">
        <v>705</v>
      </c>
      <c r="C6" s="207" t="s">
        <v>706</v>
      </c>
      <c r="D6" s="207" t="s">
        <v>707</v>
      </c>
      <c r="E6" s="207" t="s">
        <v>708</v>
      </c>
      <c r="F6" s="207" t="s">
        <v>709</v>
      </c>
      <c r="G6" s="207" t="s">
        <v>710</v>
      </c>
      <c r="H6" s="207" t="s">
        <v>704</v>
      </c>
      <c r="I6" s="59"/>
      <c r="J6" s="59"/>
      <c r="K6" s="59"/>
      <c r="L6" s="59"/>
    </row>
    <row r="7" ht="39.75" customHeight="1">
      <c r="A7" s="215">
        <v>3.0</v>
      </c>
      <c r="B7" s="205" t="s">
        <v>711</v>
      </c>
      <c r="C7" s="205" t="s">
        <v>712</v>
      </c>
      <c r="D7" s="205" t="s">
        <v>700</v>
      </c>
      <c r="E7" s="205" t="s">
        <v>713</v>
      </c>
      <c r="F7" s="205" t="s">
        <v>714</v>
      </c>
      <c r="G7" s="205" t="s">
        <v>715</v>
      </c>
      <c r="H7" s="205" t="s">
        <v>704</v>
      </c>
      <c r="I7" s="59"/>
      <c r="J7" s="59"/>
      <c r="K7" s="59"/>
      <c r="L7" s="59"/>
    </row>
    <row r="8" ht="39.75" customHeight="1">
      <c r="A8" s="216">
        <v>4.0</v>
      </c>
      <c r="B8" s="207" t="s">
        <v>716</v>
      </c>
      <c r="C8" s="207" t="s">
        <v>717</v>
      </c>
      <c r="D8" s="207" t="s">
        <v>718</v>
      </c>
      <c r="E8" s="207" t="s">
        <v>719</v>
      </c>
      <c r="F8" s="207" t="s">
        <v>720</v>
      </c>
      <c r="G8" s="207" t="s">
        <v>721</v>
      </c>
      <c r="H8" s="207" t="s">
        <v>704</v>
      </c>
      <c r="I8" s="59"/>
      <c r="J8" s="59"/>
      <c r="K8" s="59"/>
      <c r="L8" s="59"/>
    </row>
    <row r="9" ht="39.75" customHeight="1">
      <c r="A9" s="215">
        <v>5.0</v>
      </c>
      <c r="B9" s="205" t="s">
        <v>643</v>
      </c>
      <c r="C9" s="205" t="s">
        <v>722</v>
      </c>
      <c r="D9" s="205" t="s">
        <v>723</v>
      </c>
      <c r="E9" s="205" t="s">
        <v>724</v>
      </c>
      <c r="F9" s="205" t="s">
        <v>725</v>
      </c>
      <c r="G9" s="205" t="s">
        <v>726</v>
      </c>
      <c r="H9" s="205" t="s">
        <v>704</v>
      </c>
      <c r="I9" s="59"/>
      <c r="J9" s="59"/>
      <c r="K9" s="59"/>
      <c r="L9" s="59"/>
    </row>
    <row r="10" ht="39.75" customHeight="1">
      <c r="A10" s="216">
        <v>6.0</v>
      </c>
      <c r="B10" s="207" t="s">
        <v>727</v>
      </c>
      <c r="C10" s="207" t="s">
        <v>728</v>
      </c>
      <c r="D10" s="207" t="s">
        <v>729</v>
      </c>
      <c r="E10" s="207" t="s">
        <v>730</v>
      </c>
      <c r="F10" s="207" t="s">
        <v>731</v>
      </c>
      <c r="G10" s="207" t="s">
        <v>732</v>
      </c>
      <c r="H10" s="207" t="s">
        <v>704</v>
      </c>
      <c r="I10" s="59"/>
      <c r="J10" s="59"/>
      <c r="K10" s="59"/>
      <c r="L10" s="59"/>
    </row>
    <row r="11" ht="6.0" customHeight="1">
      <c r="A11" s="59"/>
      <c r="B11" s="59"/>
      <c r="C11" s="59"/>
      <c r="D11" s="59"/>
      <c r="E11" s="59"/>
      <c r="F11" s="59"/>
      <c r="G11" s="59"/>
      <c r="H11" s="59" t="s">
        <v>704</v>
      </c>
      <c r="I11" s="59"/>
      <c r="J11" s="59"/>
      <c r="K11" s="59"/>
      <c r="L11" s="59"/>
    </row>
    <row r="12" ht="32.25" customHeight="1">
      <c r="A12" s="148" t="s">
        <v>733</v>
      </c>
      <c r="B12" s="57"/>
      <c r="C12" s="57"/>
      <c r="D12" s="57"/>
      <c r="E12" s="57"/>
      <c r="F12" s="57"/>
      <c r="G12" s="57"/>
      <c r="H12" s="58"/>
      <c r="I12" s="59"/>
      <c r="J12" s="59"/>
      <c r="K12" s="59"/>
      <c r="L12" s="59"/>
    </row>
    <row r="13" ht="27.75" customHeight="1">
      <c r="A13" s="214" t="s">
        <v>734</v>
      </c>
      <c r="B13" s="214" t="s">
        <v>735</v>
      </c>
      <c r="C13" s="214" t="s">
        <v>736</v>
      </c>
      <c r="D13" s="214" t="s">
        <v>737</v>
      </c>
      <c r="E13" s="214" t="s">
        <v>738</v>
      </c>
      <c r="F13" s="214" t="s">
        <v>739</v>
      </c>
      <c r="G13" s="214" t="s">
        <v>740</v>
      </c>
      <c r="H13" s="214" t="s">
        <v>216</v>
      </c>
      <c r="I13" s="59"/>
      <c r="J13" s="59"/>
      <c r="K13" s="59"/>
      <c r="L13" s="59"/>
    </row>
    <row r="14" ht="35.25" customHeight="1">
      <c r="A14" s="215" t="s">
        <v>741</v>
      </c>
      <c r="B14" s="205" t="s">
        <v>742</v>
      </c>
      <c r="C14" s="205" t="s">
        <v>743</v>
      </c>
      <c r="D14" s="205" t="s">
        <v>491</v>
      </c>
      <c r="E14" s="205" t="s">
        <v>744</v>
      </c>
      <c r="F14" s="205" t="s">
        <v>745</v>
      </c>
      <c r="G14" s="205" t="s">
        <v>746</v>
      </c>
      <c r="H14" s="205" t="s">
        <v>359</v>
      </c>
      <c r="I14" s="59"/>
      <c r="J14" s="59"/>
      <c r="K14" s="59"/>
      <c r="L14" s="59"/>
    </row>
    <row r="15" ht="35.25" customHeight="1">
      <c r="A15" s="216" t="s">
        <v>747</v>
      </c>
      <c r="B15" s="207" t="s">
        <v>748</v>
      </c>
      <c r="C15" s="207" t="s">
        <v>749</v>
      </c>
      <c r="D15" s="207" t="s">
        <v>491</v>
      </c>
      <c r="E15" s="207" t="s">
        <v>750</v>
      </c>
      <c r="F15" s="207" t="s">
        <v>751</v>
      </c>
      <c r="G15" s="207" t="s">
        <v>752</v>
      </c>
      <c r="H15" s="207" t="s">
        <v>359</v>
      </c>
      <c r="I15" s="59"/>
      <c r="J15" s="59"/>
      <c r="K15" s="59"/>
      <c r="L15" s="59"/>
    </row>
    <row r="16" ht="35.25" customHeight="1">
      <c r="A16" s="215" t="s">
        <v>753</v>
      </c>
      <c r="B16" s="205" t="s">
        <v>754</v>
      </c>
      <c r="C16" s="205" t="s">
        <v>755</v>
      </c>
      <c r="D16" s="205" t="s">
        <v>756</v>
      </c>
      <c r="E16" s="205" t="s">
        <v>757</v>
      </c>
      <c r="F16" s="205" t="s">
        <v>758</v>
      </c>
      <c r="G16" s="205" t="s">
        <v>759</v>
      </c>
      <c r="H16" s="205" t="s">
        <v>359</v>
      </c>
      <c r="I16" s="59"/>
      <c r="J16" s="59"/>
      <c r="K16" s="59"/>
      <c r="L16" s="59"/>
    </row>
    <row r="17" ht="35.25" customHeight="1">
      <c r="A17" s="216" t="s">
        <v>760</v>
      </c>
      <c r="B17" s="207" t="s">
        <v>761</v>
      </c>
      <c r="C17" s="207" t="s">
        <v>762</v>
      </c>
      <c r="D17" s="207" t="s">
        <v>763</v>
      </c>
      <c r="E17" s="207" t="s">
        <v>764</v>
      </c>
      <c r="F17" s="207" t="s">
        <v>765</v>
      </c>
      <c r="G17" s="207" t="s">
        <v>766</v>
      </c>
      <c r="H17" s="207" t="s">
        <v>359</v>
      </c>
      <c r="I17" s="59"/>
      <c r="J17" s="59"/>
      <c r="K17" s="59"/>
      <c r="L17" s="59"/>
    </row>
    <row r="18" ht="35.25" customHeight="1">
      <c r="A18" s="215" t="s">
        <v>767</v>
      </c>
      <c r="B18" s="205" t="s">
        <v>768</v>
      </c>
      <c r="C18" s="205" t="s">
        <v>769</v>
      </c>
      <c r="D18" s="205" t="s">
        <v>770</v>
      </c>
      <c r="E18" s="205" t="s">
        <v>771</v>
      </c>
      <c r="F18" s="205" t="s">
        <v>772</v>
      </c>
      <c r="G18" s="205" t="s">
        <v>773</v>
      </c>
      <c r="H18" s="205" t="s">
        <v>359</v>
      </c>
      <c r="I18" s="59"/>
      <c r="J18" s="59"/>
      <c r="K18" s="59"/>
      <c r="L18" s="59"/>
    </row>
    <row r="19" ht="35.25" customHeight="1">
      <c r="A19" s="216" t="s">
        <v>774</v>
      </c>
      <c r="B19" s="207" t="s">
        <v>775</v>
      </c>
      <c r="C19" s="207" t="s">
        <v>776</v>
      </c>
      <c r="D19" s="207" t="s">
        <v>777</v>
      </c>
      <c r="E19" s="207" t="s">
        <v>778</v>
      </c>
      <c r="F19" s="207" t="s">
        <v>779</v>
      </c>
      <c r="G19" s="207" t="s">
        <v>780</v>
      </c>
      <c r="H19" s="207" t="s">
        <v>359</v>
      </c>
      <c r="I19" s="59"/>
      <c r="J19" s="59"/>
      <c r="K19" s="59"/>
      <c r="L19" s="59"/>
    </row>
    <row r="20" ht="35.25" customHeight="1">
      <c r="A20" s="215" t="s">
        <v>781</v>
      </c>
      <c r="B20" s="205" t="s">
        <v>782</v>
      </c>
      <c r="C20" s="205" t="s">
        <v>783</v>
      </c>
      <c r="D20" s="205" t="s">
        <v>784</v>
      </c>
      <c r="E20" s="205" t="s">
        <v>785</v>
      </c>
      <c r="F20" s="205" t="s">
        <v>786</v>
      </c>
      <c r="G20" s="205" t="s">
        <v>787</v>
      </c>
      <c r="H20" s="205" t="s">
        <v>359</v>
      </c>
      <c r="I20" s="59"/>
      <c r="J20" s="59"/>
      <c r="K20" s="59"/>
      <c r="L20" s="59"/>
    </row>
    <row r="21" ht="35.25" customHeight="1">
      <c r="A21" s="216" t="s">
        <v>788</v>
      </c>
      <c r="B21" s="207" t="s">
        <v>789</v>
      </c>
      <c r="C21" s="207" t="s">
        <v>515</v>
      </c>
      <c r="D21" s="207" t="s">
        <v>790</v>
      </c>
      <c r="E21" s="207" t="s">
        <v>791</v>
      </c>
      <c r="F21" s="207" t="s">
        <v>792</v>
      </c>
      <c r="G21" s="207" t="s">
        <v>793</v>
      </c>
      <c r="H21" s="207" t="s">
        <v>359</v>
      </c>
      <c r="I21" s="59"/>
      <c r="J21" s="59"/>
      <c r="K21" s="59"/>
      <c r="L21" s="59"/>
    </row>
    <row r="22" ht="6.0" customHeight="1">
      <c r="A22" s="59"/>
      <c r="B22" s="59"/>
      <c r="C22" s="59"/>
      <c r="D22" s="59"/>
      <c r="E22" s="59"/>
      <c r="F22" s="59"/>
      <c r="G22" s="59"/>
      <c r="H22" s="59" t="s">
        <v>359</v>
      </c>
      <c r="I22" s="59"/>
      <c r="J22" s="59"/>
      <c r="K22" s="59"/>
      <c r="L22" s="59"/>
    </row>
    <row r="23" ht="32.25" customHeight="1">
      <c r="A23" s="178" t="s">
        <v>794</v>
      </c>
      <c r="B23" s="57"/>
      <c r="C23" s="57"/>
      <c r="D23" s="57"/>
      <c r="E23" s="57"/>
      <c r="F23" s="57"/>
      <c r="G23" s="57"/>
      <c r="H23" s="58"/>
      <c r="I23" s="59"/>
      <c r="J23" s="59"/>
      <c r="K23" s="59"/>
      <c r="L23" s="59"/>
    </row>
    <row r="24" ht="27.75" customHeight="1">
      <c r="A24" s="213" t="s">
        <v>795</v>
      </c>
      <c r="B24" s="213" t="s">
        <v>796</v>
      </c>
      <c r="C24" s="213" t="s">
        <v>797</v>
      </c>
      <c r="D24" s="213" t="s">
        <v>798</v>
      </c>
      <c r="E24" s="213" t="s">
        <v>799</v>
      </c>
      <c r="F24" s="213" t="s">
        <v>800</v>
      </c>
      <c r="G24" s="213" t="s">
        <v>801</v>
      </c>
      <c r="H24" s="213" t="s">
        <v>359</v>
      </c>
      <c r="I24" s="59"/>
      <c r="J24" s="59"/>
      <c r="K24" s="59"/>
      <c r="L24" s="59"/>
    </row>
    <row r="25" ht="35.25" customHeight="1">
      <c r="A25" s="209" t="s">
        <v>491</v>
      </c>
      <c r="B25" s="205" t="s">
        <v>802</v>
      </c>
      <c r="C25" s="205" t="s">
        <v>803</v>
      </c>
      <c r="D25" s="205" t="s">
        <v>804</v>
      </c>
      <c r="E25" s="205" t="s">
        <v>805</v>
      </c>
      <c r="F25" s="205" t="s">
        <v>806</v>
      </c>
      <c r="G25" s="205" t="s">
        <v>690</v>
      </c>
      <c r="H25" s="205" t="s">
        <v>807</v>
      </c>
      <c r="I25" s="59"/>
      <c r="J25" s="59"/>
      <c r="K25" s="59"/>
      <c r="L25" s="59"/>
    </row>
    <row r="26" ht="35.25" customHeight="1">
      <c r="A26" s="211" t="s">
        <v>808</v>
      </c>
      <c r="B26" s="207" t="s">
        <v>809</v>
      </c>
      <c r="C26" s="207" t="s">
        <v>810</v>
      </c>
      <c r="D26" s="207" t="s">
        <v>811</v>
      </c>
      <c r="E26" s="207" t="s">
        <v>812</v>
      </c>
      <c r="F26" s="207" t="s">
        <v>813</v>
      </c>
      <c r="G26" s="207" t="s">
        <v>814</v>
      </c>
      <c r="H26" s="207" t="s">
        <v>807</v>
      </c>
      <c r="I26" s="59"/>
      <c r="J26" s="59"/>
      <c r="K26" s="59"/>
      <c r="L26" s="59"/>
    </row>
    <row r="27" ht="35.25" customHeight="1">
      <c r="A27" s="209" t="s">
        <v>745</v>
      </c>
      <c r="B27" s="205" t="s">
        <v>815</v>
      </c>
      <c r="C27" s="205" t="s">
        <v>816</v>
      </c>
      <c r="D27" s="205" t="s">
        <v>817</v>
      </c>
      <c r="E27" s="205" t="s">
        <v>818</v>
      </c>
      <c r="F27" s="205" t="s">
        <v>819</v>
      </c>
      <c r="G27" s="205" t="s">
        <v>820</v>
      </c>
      <c r="H27" s="205" t="s">
        <v>821</v>
      </c>
      <c r="I27" s="59"/>
      <c r="J27" s="59"/>
      <c r="K27" s="59"/>
      <c r="L27" s="59"/>
    </row>
    <row r="28" ht="35.25" customHeight="1">
      <c r="A28" s="211" t="s">
        <v>822</v>
      </c>
      <c r="B28" s="207" t="s">
        <v>823</v>
      </c>
      <c r="C28" s="207" t="s">
        <v>824</v>
      </c>
      <c r="D28" s="207" t="s">
        <v>817</v>
      </c>
      <c r="E28" s="207" t="s">
        <v>825</v>
      </c>
      <c r="F28" s="207" t="s">
        <v>354</v>
      </c>
      <c r="G28" s="207" t="s">
        <v>690</v>
      </c>
      <c r="H28" s="207" t="s">
        <v>821</v>
      </c>
      <c r="I28" s="59"/>
      <c r="J28" s="59"/>
      <c r="K28" s="59"/>
      <c r="L28" s="59"/>
    </row>
    <row r="29" ht="35.25" customHeight="1">
      <c r="A29" s="209" t="s">
        <v>763</v>
      </c>
      <c r="B29" s="205" t="s">
        <v>826</v>
      </c>
      <c r="C29" s="205" t="s">
        <v>816</v>
      </c>
      <c r="D29" s="205" t="s">
        <v>827</v>
      </c>
      <c r="E29" s="205" t="s">
        <v>828</v>
      </c>
      <c r="F29" s="205" t="s">
        <v>829</v>
      </c>
      <c r="G29" s="205" t="s">
        <v>830</v>
      </c>
      <c r="H29" s="205" t="s">
        <v>831</v>
      </c>
      <c r="I29" s="59"/>
      <c r="J29" s="59"/>
      <c r="K29" s="59"/>
      <c r="L29" s="59"/>
    </row>
    <row r="30" ht="35.25" customHeight="1">
      <c r="A30" s="211" t="s">
        <v>700</v>
      </c>
      <c r="B30" s="207" t="s">
        <v>832</v>
      </c>
      <c r="C30" s="207" t="s">
        <v>491</v>
      </c>
      <c r="D30" s="207" t="s">
        <v>833</v>
      </c>
      <c r="E30" s="207" t="s">
        <v>834</v>
      </c>
      <c r="F30" s="207" t="s">
        <v>354</v>
      </c>
      <c r="G30" s="207" t="s">
        <v>690</v>
      </c>
      <c r="H30" s="207" t="s">
        <v>807</v>
      </c>
      <c r="I30" s="59"/>
      <c r="J30" s="59"/>
      <c r="K30" s="59"/>
      <c r="L30" s="59"/>
    </row>
    <row r="31" ht="35.25" customHeight="1">
      <c r="A31" s="209" t="s">
        <v>835</v>
      </c>
      <c r="B31" s="205" t="s">
        <v>836</v>
      </c>
      <c r="C31" s="205" t="s">
        <v>837</v>
      </c>
      <c r="D31" s="205" t="s">
        <v>838</v>
      </c>
      <c r="E31" s="205" t="s">
        <v>839</v>
      </c>
      <c r="F31" s="205" t="s">
        <v>840</v>
      </c>
      <c r="G31" s="205" t="s">
        <v>841</v>
      </c>
      <c r="H31" s="205" t="s">
        <v>821</v>
      </c>
      <c r="I31" s="59"/>
      <c r="J31" s="59"/>
      <c r="K31" s="59"/>
      <c r="L31" s="59"/>
    </row>
    <row r="32" ht="35.25" customHeight="1">
      <c r="A32" s="211" t="s">
        <v>842</v>
      </c>
      <c r="B32" s="207" t="s">
        <v>843</v>
      </c>
      <c r="C32" s="207" t="s">
        <v>844</v>
      </c>
      <c r="D32" s="207" t="s">
        <v>845</v>
      </c>
      <c r="E32" s="207" t="s">
        <v>846</v>
      </c>
      <c r="F32" s="207" t="s">
        <v>847</v>
      </c>
      <c r="G32" s="207" t="s">
        <v>848</v>
      </c>
      <c r="H32" s="207" t="s">
        <v>831</v>
      </c>
      <c r="I32" s="59"/>
      <c r="J32" s="59"/>
      <c r="K32" s="59"/>
      <c r="L32" s="59"/>
    </row>
    <row r="33" ht="6.0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</row>
    <row r="34" ht="32.25" customHeight="1">
      <c r="A34" s="191" t="s">
        <v>849</v>
      </c>
      <c r="B34" s="57"/>
      <c r="C34" s="57"/>
      <c r="D34" s="57"/>
      <c r="E34" s="57"/>
      <c r="F34" s="57"/>
      <c r="G34" s="57"/>
      <c r="H34" s="58"/>
      <c r="I34" s="59"/>
      <c r="J34" s="59"/>
      <c r="K34" s="59"/>
      <c r="L34" s="59"/>
    </row>
    <row r="35" ht="27.75" customHeight="1">
      <c r="A35" s="208" t="s">
        <v>52</v>
      </c>
      <c r="B35" s="208" t="s">
        <v>175</v>
      </c>
      <c r="C35" s="208" t="s">
        <v>486</v>
      </c>
      <c r="D35" s="208" t="s">
        <v>850</v>
      </c>
      <c r="E35" s="208" t="s">
        <v>851</v>
      </c>
      <c r="F35" s="208" t="s">
        <v>852</v>
      </c>
      <c r="G35" s="208" t="s">
        <v>853</v>
      </c>
      <c r="H35" s="208" t="s">
        <v>527</v>
      </c>
      <c r="I35" s="59"/>
      <c r="J35" s="59"/>
      <c r="K35" s="59"/>
      <c r="L35" s="59"/>
    </row>
    <row r="36" ht="35.25" customHeight="1">
      <c r="A36" s="204">
        <v>1.0</v>
      </c>
      <c r="B36" s="205" t="s">
        <v>854</v>
      </c>
      <c r="C36" s="205" t="s">
        <v>491</v>
      </c>
      <c r="D36" s="205" t="s">
        <v>855</v>
      </c>
      <c r="E36" s="205" t="s">
        <v>856</v>
      </c>
      <c r="F36" s="205" t="s">
        <v>857</v>
      </c>
      <c r="G36" s="205" t="s">
        <v>359</v>
      </c>
      <c r="H36" s="205" t="s">
        <v>858</v>
      </c>
      <c r="I36" s="59"/>
      <c r="J36" s="59"/>
      <c r="K36" s="59"/>
      <c r="L36" s="59"/>
    </row>
    <row r="37" ht="35.25" customHeight="1">
      <c r="A37" s="206">
        <v>2.0</v>
      </c>
      <c r="B37" s="207" t="s">
        <v>859</v>
      </c>
      <c r="C37" s="207" t="s">
        <v>808</v>
      </c>
      <c r="D37" s="207" t="s">
        <v>860</v>
      </c>
      <c r="E37" s="207" t="s">
        <v>861</v>
      </c>
      <c r="F37" s="207" t="s">
        <v>862</v>
      </c>
      <c r="G37" s="207" t="s">
        <v>359</v>
      </c>
      <c r="H37" s="207" t="s">
        <v>863</v>
      </c>
      <c r="I37" s="59"/>
      <c r="J37" s="59"/>
      <c r="K37" s="59"/>
      <c r="L37" s="59"/>
    </row>
    <row r="38" ht="35.25" customHeight="1">
      <c r="A38" s="204">
        <v>3.0</v>
      </c>
      <c r="B38" s="205" t="s">
        <v>864</v>
      </c>
      <c r="C38" s="205" t="s">
        <v>865</v>
      </c>
      <c r="D38" s="205" t="s">
        <v>855</v>
      </c>
      <c r="E38" s="205" t="s">
        <v>866</v>
      </c>
      <c r="F38" s="205" t="s">
        <v>867</v>
      </c>
      <c r="G38" s="205" t="s">
        <v>359</v>
      </c>
      <c r="H38" s="205" t="s">
        <v>868</v>
      </c>
      <c r="I38" s="59"/>
      <c r="J38" s="59"/>
      <c r="K38" s="59"/>
      <c r="L38" s="59"/>
    </row>
    <row r="39" ht="35.25" customHeight="1">
      <c r="A39" s="206">
        <v>4.0</v>
      </c>
      <c r="B39" s="207" t="s">
        <v>869</v>
      </c>
      <c r="C39" s="207" t="s">
        <v>822</v>
      </c>
      <c r="D39" s="207" t="s">
        <v>870</v>
      </c>
      <c r="E39" s="207" t="s">
        <v>871</v>
      </c>
      <c r="F39" s="207" t="s">
        <v>872</v>
      </c>
      <c r="G39" s="207" t="s">
        <v>359</v>
      </c>
      <c r="H39" s="207" t="s">
        <v>873</v>
      </c>
      <c r="I39" s="59"/>
      <c r="J39" s="59"/>
      <c r="K39" s="59"/>
      <c r="L39" s="59"/>
    </row>
    <row r="40" ht="35.25" customHeight="1">
      <c r="A40" s="204">
        <v>5.0</v>
      </c>
      <c r="B40" s="205" t="s">
        <v>874</v>
      </c>
      <c r="C40" s="205" t="s">
        <v>491</v>
      </c>
      <c r="D40" s="205" t="s">
        <v>875</v>
      </c>
      <c r="E40" s="205" t="s">
        <v>876</v>
      </c>
      <c r="F40" s="205" t="s">
        <v>690</v>
      </c>
      <c r="G40" s="205" t="s">
        <v>359</v>
      </c>
      <c r="H40" s="205" t="s">
        <v>877</v>
      </c>
      <c r="I40" s="59"/>
      <c r="J40" s="59"/>
      <c r="K40" s="59"/>
      <c r="L40" s="59"/>
    </row>
    <row r="41" ht="35.25" customHeight="1">
      <c r="A41" s="206">
        <v>6.0</v>
      </c>
      <c r="B41" s="207" t="s">
        <v>878</v>
      </c>
      <c r="C41" s="207" t="s">
        <v>824</v>
      </c>
      <c r="D41" s="207" t="s">
        <v>855</v>
      </c>
      <c r="E41" s="207" t="s">
        <v>879</v>
      </c>
      <c r="F41" s="207" t="s">
        <v>690</v>
      </c>
      <c r="G41" s="207" t="s">
        <v>359</v>
      </c>
      <c r="H41" s="207" t="s">
        <v>880</v>
      </c>
      <c r="I41" s="59"/>
      <c r="J41" s="59"/>
      <c r="K41" s="59"/>
      <c r="L41" s="59"/>
    </row>
    <row r="42" ht="35.25" customHeight="1">
      <c r="A42" s="204">
        <v>7.0</v>
      </c>
      <c r="B42" s="205" t="s">
        <v>881</v>
      </c>
      <c r="C42" s="205" t="s">
        <v>865</v>
      </c>
      <c r="D42" s="205" t="s">
        <v>882</v>
      </c>
      <c r="E42" s="205" t="s">
        <v>883</v>
      </c>
      <c r="F42" s="205" t="s">
        <v>690</v>
      </c>
      <c r="G42" s="205" t="s">
        <v>359</v>
      </c>
      <c r="H42" s="205" t="s">
        <v>884</v>
      </c>
      <c r="I42" s="59"/>
      <c r="J42" s="59"/>
      <c r="K42" s="59"/>
      <c r="L42" s="59"/>
    </row>
    <row r="43" ht="35.25" customHeight="1">
      <c r="A43" s="206">
        <v>8.0</v>
      </c>
      <c r="B43" s="207" t="s">
        <v>885</v>
      </c>
      <c r="C43" s="207" t="s">
        <v>886</v>
      </c>
      <c r="D43" s="207" t="s">
        <v>882</v>
      </c>
      <c r="E43" s="207" t="s">
        <v>887</v>
      </c>
      <c r="F43" s="207" t="s">
        <v>888</v>
      </c>
      <c r="G43" s="207" t="s">
        <v>359</v>
      </c>
      <c r="H43" s="207" t="s">
        <v>889</v>
      </c>
      <c r="I43" s="59"/>
      <c r="J43" s="59"/>
      <c r="K43" s="59"/>
      <c r="L43" s="59"/>
    </row>
    <row r="44" ht="35.25" customHeight="1">
      <c r="A44" s="204">
        <v>9.0</v>
      </c>
      <c r="B44" s="205" t="s">
        <v>890</v>
      </c>
      <c r="C44" s="205" t="s">
        <v>808</v>
      </c>
      <c r="D44" s="205" t="s">
        <v>870</v>
      </c>
      <c r="E44" s="205" t="s">
        <v>891</v>
      </c>
      <c r="F44" s="205" t="s">
        <v>690</v>
      </c>
      <c r="G44" s="205" t="s">
        <v>359</v>
      </c>
      <c r="H44" s="205" t="s">
        <v>690</v>
      </c>
      <c r="I44" s="59"/>
      <c r="J44" s="59"/>
      <c r="K44" s="59"/>
      <c r="L44" s="59"/>
    </row>
    <row r="45" ht="35.25" customHeight="1">
      <c r="A45" s="206">
        <v>10.0</v>
      </c>
      <c r="B45" s="207" t="s">
        <v>892</v>
      </c>
      <c r="C45" s="207" t="s">
        <v>893</v>
      </c>
      <c r="D45" s="207" t="s">
        <v>882</v>
      </c>
      <c r="E45" s="207" t="s">
        <v>894</v>
      </c>
      <c r="F45" s="207" t="s">
        <v>690</v>
      </c>
      <c r="G45" s="207" t="s">
        <v>359</v>
      </c>
      <c r="H45" s="207" t="s">
        <v>895</v>
      </c>
      <c r="I45" s="59"/>
      <c r="J45" s="59"/>
      <c r="K45" s="59"/>
      <c r="L45" s="59"/>
    </row>
    <row r="46" ht="6.0" customHeight="1">
      <c r="A46" s="217"/>
      <c r="B46" s="217"/>
      <c r="C46" s="217"/>
      <c r="D46" s="217"/>
      <c r="E46" s="217"/>
      <c r="F46" s="217"/>
      <c r="G46" s="217" t="s">
        <v>896</v>
      </c>
      <c r="H46" s="217" t="str">
        <f>COUNTIF(G47:G56,"✅")&amp;"/10"</f>
        <v>0/10</v>
      </c>
      <c r="I46" s="59"/>
      <c r="J46" s="59"/>
      <c r="K46" s="59"/>
      <c r="L46" s="59"/>
    </row>
    <row r="47" ht="32.25" customHeight="1">
      <c r="A47" s="218" t="s">
        <v>897</v>
      </c>
      <c r="B47" s="219"/>
      <c r="C47" s="219"/>
      <c r="D47" s="219"/>
      <c r="E47" s="219"/>
      <c r="F47" s="219"/>
      <c r="G47" s="219"/>
      <c r="H47" s="220"/>
      <c r="I47" s="59"/>
      <c r="J47" s="59"/>
      <c r="K47" s="59"/>
      <c r="L47" s="59"/>
    </row>
    <row r="48" ht="27.75" customHeight="1">
      <c r="A48" s="221" t="s">
        <v>3</v>
      </c>
      <c r="B48" s="222" t="s">
        <v>898</v>
      </c>
      <c r="C48" s="222" t="s">
        <v>796</v>
      </c>
      <c r="D48" s="222" t="s">
        <v>899</v>
      </c>
      <c r="E48" s="222" t="s">
        <v>900</v>
      </c>
      <c r="F48" s="222" t="s">
        <v>901</v>
      </c>
      <c r="G48" s="222" t="s">
        <v>239</v>
      </c>
      <c r="H48" s="223" t="s">
        <v>902</v>
      </c>
      <c r="I48" s="59"/>
      <c r="J48" s="59"/>
      <c r="K48" s="59"/>
      <c r="L48" s="59"/>
    </row>
    <row r="49" ht="45.0" customHeight="1">
      <c r="A49" s="224">
        <v>1.0</v>
      </c>
      <c r="B49" s="225" t="s">
        <v>8</v>
      </c>
      <c r="C49" s="226" t="s">
        <v>903</v>
      </c>
      <c r="D49" s="226" t="s">
        <v>904</v>
      </c>
      <c r="E49" s="226" t="s">
        <v>905</v>
      </c>
      <c r="F49" s="226" t="s">
        <v>906</v>
      </c>
      <c r="G49" s="227" t="s">
        <v>907</v>
      </c>
      <c r="H49" s="228" t="s">
        <v>908</v>
      </c>
      <c r="I49" s="59"/>
      <c r="J49" s="59"/>
      <c r="K49" s="59"/>
      <c r="L49" s="59"/>
    </row>
    <row r="50" ht="45.0" customHeight="1">
      <c r="A50" s="229">
        <v>2.0</v>
      </c>
      <c r="B50" s="230" t="s">
        <v>909</v>
      </c>
      <c r="C50" s="231" t="s">
        <v>910</v>
      </c>
      <c r="D50" s="231" t="s">
        <v>911</v>
      </c>
      <c r="E50" s="231" t="s">
        <v>912</v>
      </c>
      <c r="F50" s="231" t="s">
        <v>913</v>
      </c>
      <c r="G50" s="232" t="s">
        <v>914</v>
      </c>
      <c r="H50" s="233" t="s">
        <v>690</v>
      </c>
      <c r="I50" s="59"/>
      <c r="J50" s="59"/>
      <c r="K50" s="59"/>
      <c r="L50" s="59"/>
    </row>
    <row r="51" ht="45.0" customHeight="1">
      <c r="A51" s="234">
        <v>3.0</v>
      </c>
      <c r="B51" s="235" t="s">
        <v>16</v>
      </c>
      <c r="C51" s="236" t="s">
        <v>915</v>
      </c>
      <c r="D51" s="236" t="s">
        <v>916</v>
      </c>
      <c r="E51" s="236" t="s">
        <v>917</v>
      </c>
      <c r="F51" s="236" t="s">
        <v>918</v>
      </c>
      <c r="G51" s="237" t="s">
        <v>919</v>
      </c>
      <c r="H51" s="238" t="s">
        <v>920</v>
      </c>
      <c r="I51" s="59"/>
      <c r="J51" s="59"/>
      <c r="K51" s="59"/>
      <c r="L51" s="59"/>
    </row>
    <row r="52" ht="45.0" customHeight="1">
      <c r="A52" s="239">
        <v>4.0</v>
      </c>
      <c r="B52" s="240" t="s">
        <v>921</v>
      </c>
      <c r="C52" s="241" t="s">
        <v>922</v>
      </c>
      <c r="D52" s="241" t="s">
        <v>923</v>
      </c>
      <c r="E52" s="241" t="s">
        <v>924</v>
      </c>
      <c r="F52" s="241" t="s">
        <v>925</v>
      </c>
      <c r="G52" s="242" t="s">
        <v>926</v>
      </c>
      <c r="H52" s="243" t="s">
        <v>927</v>
      </c>
      <c r="I52" s="59"/>
      <c r="J52" s="59"/>
      <c r="K52" s="59"/>
      <c r="L52" s="59"/>
    </row>
    <row r="53" ht="45.0" customHeight="1">
      <c r="A53" s="244">
        <v>5.0</v>
      </c>
      <c r="B53" s="245" t="s">
        <v>24</v>
      </c>
      <c r="C53" s="246" t="s">
        <v>928</v>
      </c>
      <c r="D53" s="246" t="s">
        <v>929</v>
      </c>
      <c r="E53" s="246" t="s">
        <v>930</v>
      </c>
      <c r="F53" s="246" t="s">
        <v>931</v>
      </c>
      <c r="G53" s="247" t="s">
        <v>932</v>
      </c>
      <c r="H53" s="248" t="s">
        <v>933</v>
      </c>
      <c r="I53" s="59"/>
      <c r="J53" s="59"/>
      <c r="K53" s="59"/>
      <c r="L53" s="59"/>
    </row>
    <row r="54" ht="45.0" customHeight="1">
      <c r="A54" s="249">
        <v>6.0</v>
      </c>
      <c r="B54" s="250" t="s">
        <v>28</v>
      </c>
      <c r="C54" s="251" t="s">
        <v>934</v>
      </c>
      <c r="D54" s="251" t="s">
        <v>935</v>
      </c>
      <c r="E54" s="251" t="s">
        <v>936</v>
      </c>
      <c r="F54" s="251" t="s">
        <v>937</v>
      </c>
      <c r="G54" s="252" t="s">
        <v>938</v>
      </c>
      <c r="H54" s="253" t="s">
        <v>939</v>
      </c>
      <c r="I54" s="59"/>
      <c r="J54" s="59"/>
      <c r="K54" s="59"/>
      <c r="L54" s="59"/>
    </row>
    <row r="55" ht="45.0" customHeight="1">
      <c r="A55" s="254">
        <v>7.0</v>
      </c>
      <c r="B55" s="255" t="s">
        <v>32</v>
      </c>
      <c r="C55" s="256" t="s">
        <v>940</v>
      </c>
      <c r="D55" s="256" t="s">
        <v>941</v>
      </c>
      <c r="E55" s="256" t="s">
        <v>942</v>
      </c>
      <c r="F55" s="256" t="s">
        <v>943</v>
      </c>
      <c r="G55" s="257" t="s">
        <v>944</v>
      </c>
      <c r="H55" s="258" t="s">
        <v>945</v>
      </c>
      <c r="I55" s="59"/>
      <c r="J55" s="59"/>
      <c r="K55" s="59"/>
      <c r="L55" s="59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A3:H3"/>
    <mergeCell ref="A12:H12"/>
    <mergeCell ref="A23:H23"/>
    <mergeCell ref="A34:H34"/>
    <mergeCell ref="A47:H4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86"/>
    <col customWidth="1" min="2" max="3" width="19.0"/>
    <col customWidth="1" min="4" max="4" width="17.14"/>
    <col customWidth="1" min="5" max="5" width="22.86"/>
    <col customWidth="1" min="6" max="7" width="15.29"/>
    <col customWidth="1" min="8" max="8" width="34.29"/>
    <col customWidth="1" min="9" max="26" width="8.71"/>
  </cols>
  <sheetData>
    <row r="1" ht="39.75" customHeight="1">
      <c r="A1" s="259" t="s">
        <v>946</v>
      </c>
      <c r="B1" s="57"/>
      <c r="C1" s="57"/>
      <c r="D1" s="57"/>
      <c r="E1" s="57"/>
      <c r="F1" s="57"/>
      <c r="G1" s="57"/>
      <c r="H1" s="58"/>
    </row>
    <row r="2" ht="8.25" customHeight="1">
      <c r="A2" s="217"/>
      <c r="B2" s="217"/>
      <c r="C2" s="217"/>
      <c r="D2" s="217"/>
      <c r="E2" s="217"/>
      <c r="F2" s="217"/>
      <c r="G2" s="217"/>
      <c r="H2" s="217"/>
    </row>
    <row r="3" ht="32.25" customHeight="1">
      <c r="A3" s="260" t="s">
        <v>947</v>
      </c>
      <c r="B3" s="57"/>
      <c r="C3" s="57"/>
      <c r="D3" s="57"/>
      <c r="E3" s="57"/>
      <c r="F3" s="57"/>
      <c r="G3" s="57"/>
      <c r="H3" s="58"/>
    </row>
    <row r="4" ht="27.75" customHeight="1">
      <c r="A4" s="261" t="s">
        <v>214</v>
      </c>
      <c r="B4" s="261" t="s">
        <v>153</v>
      </c>
      <c r="C4" s="261" t="s">
        <v>948</v>
      </c>
      <c r="D4" s="261" t="s">
        <v>161</v>
      </c>
      <c r="E4" s="261" t="s">
        <v>216</v>
      </c>
      <c r="F4" s="261" t="s">
        <v>949</v>
      </c>
      <c r="G4" s="261" t="s">
        <v>950</v>
      </c>
      <c r="H4" s="261" t="s">
        <v>527</v>
      </c>
    </row>
    <row r="5" ht="24.0" customHeight="1">
      <c r="A5" s="262" t="s">
        <v>217</v>
      </c>
      <c r="B5" s="263">
        <v>500.0</v>
      </c>
      <c r="C5" s="264">
        <v>620.0</v>
      </c>
      <c r="D5" s="265">
        <f t="shared" ref="D5:D12" si="1">IF(AND(B5&lt;&gt;"",C5&lt;&gt;""),C5/B5,"")</f>
        <v>1.24</v>
      </c>
      <c r="E5" s="264" t="str">
        <f t="shared" ref="E5:E12" si="2">IF(D5="","⚪",IF(D5&gt;=1,"✅ محقق",IF(D5&gt;=0.7,"⚠️ قريب","❌ دون الهدف")))</f>
        <v>✅ محقق</v>
      </c>
      <c r="F5" s="264" t="s">
        <v>951</v>
      </c>
      <c r="G5" s="264"/>
      <c r="H5" s="264"/>
    </row>
    <row r="6" ht="24.0" customHeight="1">
      <c r="A6" s="266" t="s">
        <v>218</v>
      </c>
      <c r="B6" s="267">
        <v>0.05</v>
      </c>
      <c r="C6" s="268">
        <v>0.048</v>
      </c>
      <c r="D6" s="269">
        <f t="shared" si="1"/>
        <v>0.96</v>
      </c>
      <c r="E6" s="270" t="str">
        <f t="shared" si="2"/>
        <v>⚠️ قريب</v>
      </c>
      <c r="F6" s="270" t="s">
        <v>952</v>
      </c>
      <c r="G6" s="270"/>
      <c r="H6" s="270" t="s">
        <v>953</v>
      </c>
    </row>
    <row r="7" ht="24.0" customHeight="1">
      <c r="A7" s="262" t="s">
        <v>219</v>
      </c>
      <c r="B7" s="263">
        <v>80.0</v>
      </c>
      <c r="C7" s="264">
        <v>95.0</v>
      </c>
      <c r="D7" s="265">
        <f t="shared" si="1"/>
        <v>1.1875</v>
      </c>
      <c r="E7" s="264" t="str">
        <f t="shared" si="2"/>
        <v>✅ محقق</v>
      </c>
      <c r="F7" s="264" t="s">
        <v>954</v>
      </c>
      <c r="G7" s="264"/>
      <c r="H7" s="264" t="s">
        <v>955</v>
      </c>
    </row>
    <row r="8" ht="24.0" customHeight="1">
      <c r="A8" s="266" t="s">
        <v>956</v>
      </c>
      <c r="B8" s="271">
        <v>150.0</v>
      </c>
      <c r="C8" s="270">
        <v>210.0</v>
      </c>
      <c r="D8" s="269">
        <f t="shared" si="1"/>
        <v>1.4</v>
      </c>
      <c r="E8" s="270" t="str">
        <f t="shared" si="2"/>
        <v>✅ محقق</v>
      </c>
      <c r="F8" s="270" t="s">
        <v>954</v>
      </c>
      <c r="G8" s="270"/>
      <c r="H8" s="270" t="s">
        <v>957</v>
      </c>
    </row>
    <row r="9" ht="24.0" customHeight="1">
      <c r="A9" s="262" t="s">
        <v>958</v>
      </c>
      <c r="B9" s="272">
        <v>0.03</v>
      </c>
      <c r="C9" s="273">
        <v>0.025</v>
      </c>
      <c r="D9" s="265">
        <f t="shared" si="1"/>
        <v>0.8333333333</v>
      </c>
      <c r="E9" s="264" t="str">
        <f t="shared" si="2"/>
        <v>⚠️ قريب</v>
      </c>
      <c r="F9" s="264" t="s">
        <v>952</v>
      </c>
      <c r="G9" s="264"/>
      <c r="H9" s="264" t="s">
        <v>959</v>
      </c>
    </row>
    <row r="10" ht="24.0" customHeight="1">
      <c r="A10" s="266" t="s">
        <v>960</v>
      </c>
      <c r="B10" s="271">
        <v>15000.0</v>
      </c>
      <c r="C10" s="270">
        <v>18500.0</v>
      </c>
      <c r="D10" s="269">
        <f t="shared" si="1"/>
        <v>1.233333333</v>
      </c>
      <c r="E10" s="270" t="str">
        <f t="shared" si="2"/>
        <v>✅ محقق</v>
      </c>
      <c r="F10" s="270" t="s">
        <v>954</v>
      </c>
      <c r="G10" s="270"/>
      <c r="H10" s="270"/>
    </row>
    <row r="11" ht="24.0" customHeight="1">
      <c r="A11" s="262" t="s">
        <v>220</v>
      </c>
      <c r="B11" s="263">
        <v>25.0</v>
      </c>
      <c r="C11" s="264">
        <v>31.0</v>
      </c>
      <c r="D11" s="265">
        <f t="shared" si="1"/>
        <v>1.24</v>
      </c>
      <c r="E11" s="264" t="str">
        <f t="shared" si="2"/>
        <v>✅ محقق</v>
      </c>
      <c r="F11" s="264" t="s">
        <v>951</v>
      </c>
      <c r="G11" s="264"/>
      <c r="H11" s="264" t="s">
        <v>961</v>
      </c>
    </row>
    <row r="12" ht="24.0" customHeight="1">
      <c r="A12" s="274" t="s">
        <v>962</v>
      </c>
      <c r="B12" s="275">
        <v>0.02</v>
      </c>
      <c r="C12" s="276">
        <v>0.018</v>
      </c>
      <c r="D12" s="277">
        <f t="shared" si="1"/>
        <v>0.9</v>
      </c>
      <c r="E12" s="278" t="str">
        <f t="shared" si="2"/>
        <v>⚠️ قريب</v>
      </c>
      <c r="F12" s="278" t="s">
        <v>951</v>
      </c>
      <c r="G12" s="278"/>
      <c r="H12" s="278"/>
    </row>
    <row r="13" ht="8.25" customHeight="1">
      <c r="A13" s="217"/>
      <c r="B13" s="217"/>
      <c r="C13" s="217"/>
      <c r="D13" s="217"/>
      <c r="E13" s="217"/>
      <c r="F13" s="217"/>
      <c r="G13" s="217"/>
      <c r="H13" s="217"/>
    </row>
    <row r="14" ht="32.25" customHeight="1">
      <c r="A14" s="279" t="s">
        <v>963</v>
      </c>
      <c r="B14" s="57"/>
      <c r="C14" s="57"/>
      <c r="D14" s="57"/>
      <c r="E14" s="57"/>
      <c r="F14" s="57"/>
      <c r="G14" s="57"/>
      <c r="H14" s="58"/>
    </row>
    <row r="15" ht="27.75" customHeight="1">
      <c r="A15" s="280" t="s">
        <v>214</v>
      </c>
      <c r="B15" s="280" t="s">
        <v>153</v>
      </c>
      <c r="C15" s="280" t="s">
        <v>948</v>
      </c>
      <c r="D15" s="280" t="s">
        <v>161</v>
      </c>
      <c r="E15" s="280" t="s">
        <v>216</v>
      </c>
      <c r="F15" s="280" t="s">
        <v>949</v>
      </c>
      <c r="G15" s="280" t="s">
        <v>950</v>
      </c>
      <c r="H15" s="280" t="s">
        <v>527</v>
      </c>
    </row>
    <row r="16" ht="24.0" customHeight="1">
      <c r="A16" s="262" t="s">
        <v>222</v>
      </c>
      <c r="B16" s="263">
        <v>3000.0</v>
      </c>
      <c r="C16" s="264">
        <v>2750.0</v>
      </c>
      <c r="D16" s="265">
        <f t="shared" ref="D16:D22" si="3">IF(AND(B16&lt;&gt;"",C16&lt;&gt;""),C16/B16,"")</f>
        <v>0.9166666667</v>
      </c>
      <c r="E16" s="264" t="str">
        <f t="shared" ref="E16:E22" si="4">IF(D16="","⚪",IF(D16&gt;=1,"✅ محقق",IF(D16&gt;=0.7,"⚠️ قريب","❌ دون الهدف")))</f>
        <v>⚠️ قريب</v>
      </c>
      <c r="F16" s="264" t="s">
        <v>951</v>
      </c>
      <c r="G16" s="264"/>
      <c r="H16" s="264"/>
    </row>
    <row r="17" ht="24.0" customHeight="1">
      <c r="A17" s="266" t="s">
        <v>964</v>
      </c>
      <c r="B17" s="267">
        <v>0.38</v>
      </c>
      <c r="C17" s="268">
        <v>0.42</v>
      </c>
      <c r="D17" s="269">
        <f t="shared" si="3"/>
        <v>1.105263158</v>
      </c>
      <c r="E17" s="270" t="str">
        <f t="shared" si="4"/>
        <v>✅ محقق</v>
      </c>
      <c r="F17" s="270" t="s">
        <v>952</v>
      </c>
      <c r="G17" s="270"/>
      <c r="H17" s="270" t="s">
        <v>965</v>
      </c>
    </row>
    <row r="18" ht="24.0" customHeight="1">
      <c r="A18" s="262" t="s">
        <v>966</v>
      </c>
      <c r="B18" s="263">
        <v>120.0</v>
      </c>
      <c r="C18" s="264">
        <v>98.0</v>
      </c>
      <c r="D18" s="265">
        <f t="shared" si="3"/>
        <v>0.8166666667</v>
      </c>
      <c r="E18" s="264" t="str">
        <f t="shared" si="4"/>
        <v>⚠️ قريب</v>
      </c>
      <c r="F18" s="264" t="s">
        <v>954</v>
      </c>
      <c r="G18" s="264"/>
      <c r="H18" s="264" t="s">
        <v>967</v>
      </c>
    </row>
    <row r="19" ht="24.0" customHeight="1">
      <c r="A19" s="266" t="s">
        <v>223</v>
      </c>
      <c r="B19" s="267">
        <v>0.04</v>
      </c>
      <c r="C19" s="268">
        <v>0.036</v>
      </c>
      <c r="D19" s="269">
        <f t="shared" si="3"/>
        <v>0.9</v>
      </c>
      <c r="E19" s="270" t="str">
        <f t="shared" si="4"/>
        <v>⚠️ قريب</v>
      </c>
      <c r="F19" s="270" t="s">
        <v>951</v>
      </c>
      <c r="G19" s="270"/>
      <c r="H19" s="270" t="s">
        <v>968</v>
      </c>
    </row>
    <row r="20" ht="24.0" customHeight="1">
      <c r="A20" s="262" t="s">
        <v>969</v>
      </c>
      <c r="B20" s="263">
        <v>180.0</v>
      </c>
      <c r="C20" s="264">
        <v>210.0</v>
      </c>
      <c r="D20" s="265">
        <f t="shared" si="3"/>
        <v>1.166666667</v>
      </c>
      <c r="E20" s="264" t="str">
        <f t="shared" si="4"/>
        <v>✅ محقق</v>
      </c>
      <c r="F20" s="264" t="s">
        <v>952</v>
      </c>
      <c r="G20" s="264"/>
      <c r="H20" s="264" t="s">
        <v>970</v>
      </c>
    </row>
    <row r="21" ht="24.0" customHeight="1">
      <c r="A21" s="266" t="s">
        <v>224</v>
      </c>
      <c r="B21" s="271">
        <v>85.0</v>
      </c>
      <c r="C21" s="270">
        <v>67.0</v>
      </c>
      <c r="D21" s="269">
        <f t="shared" si="3"/>
        <v>0.7882352941</v>
      </c>
      <c r="E21" s="270" t="str">
        <f t="shared" si="4"/>
        <v>⚠️ قريب</v>
      </c>
      <c r="F21" s="270" t="s">
        <v>954</v>
      </c>
      <c r="G21" s="270"/>
      <c r="H21" s="270"/>
    </row>
    <row r="22" ht="24.0" customHeight="1">
      <c r="A22" s="281" t="s">
        <v>225</v>
      </c>
      <c r="B22" s="282">
        <v>18.0</v>
      </c>
      <c r="C22" s="283">
        <v>14.0</v>
      </c>
      <c r="D22" s="284">
        <f t="shared" si="3"/>
        <v>0.7777777778</v>
      </c>
      <c r="E22" s="283" t="str">
        <f t="shared" si="4"/>
        <v>⚠️ قريب</v>
      </c>
      <c r="F22" s="283" t="s">
        <v>954</v>
      </c>
      <c r="G22" s="283"/>
      <c r="H22" s="283"/>
    </row>
    <row r="23" ht="8.25" customHeight="1">
      <c r="A23" s="217"/>
      <c r="B23" s="217"/>
      <c r="C23" s="217"/>
      <c r="D23" s="217"/>
      <c r="E23" s="217"/>
      <c r="F23" s="217"/>
      <c r="G23" s="217"/>
      <c r="H23" s="217"/>
    </row>
    <row r="24" ht="32.25" customHeight="1">
      <c r="A24" s="285" t="s">
        <v>971</v>
      </c>
      <c r="B24" s="57"/>
      <c r="C24" s="57"/>
      <c r="D24" s="57"/>
      <c r="E24" s="57"/>
      <c r="F24" s="57"/>
      <c r="G24" s="57"/>
      <c r="H24" s="58"/>
    </row>
    <row r="25" ht="27.75" customHeight="1">
      <c r="A25" s="286" t="s">
        <v>214</v>
      </c>
      <c r="B25" s="286" t="s">
        <v>153</v>
      </c>
      <c r="C25" s="286" t="s">
        <v>948</v>
      </c>
      <c r="D25" s="286" t="s">
        <v>161</v>
      </c>
      <c r="E25" s="286" t="s">
        <v>216</v>
      </c>
      <c r="F25" s="286" t="s">
        <v>949</v>
      </c>
      <c r="G25" s="286" t="s">
        <v>950</v>
      </c>
      <c r="H25" s="286" t="s">
        <v>527</v>
      </c>
    </row>
    <row r="26" ht="24.0" customHeight="1">
      <c r="A26" s="262" t="s">
        <v>227</v>
      </c>
      <c r="B26" s="263">
        <v>200.0</v>
      </c>
      <c r="C26" s="264">
        <v>235.0</v>
      </c>
      <c r="D26" s="265">
        <f t="shared" ref="D26:D32" si="5">IF(AND(B26&lt;&gt;"",C26&lt;&gt;""),C26/B26,"")</f>
        <v>1.175</v>
      </c>
      <c r="E26" s="264" t="str">
        <f t="shared" ref="E26:E32" si="6">IF(D26="","⚪",IF(D26&gt;=1,"✅ محقق",IF(D26&gt;=0.7,"⚠️ قريب","❌ دون الهدف")))</f>
        <v>✅ محقق</v>
      </c>
      <c r="F26" s="264" t="s">
        <v>951</v>
      </c>
      <c r="G26" s="264"/>
      <c r="H26" s="264"/>
    </row>
    <row r="27" ht="24.0" customHeight="1">
      <c r="A27" s="266" t="s">
        <v>228</v>
      </c>
      <c r="B27" s="267">
        <v>0.25</v>
      </c>
      <c r="C27" s="268">
        <v>0.28</v>
      </c>
      <c r="D27" s="269">
        <f t="shared" si="5"/>
        <v>1.12</v>
      </c>
      <c r="E27" s="270" t="str">
        <f t="shared" si="6"/>
        <v>✅ محقق</v>
      </c>
      <c r="F27" s="270" t="s">
        <v>972</v>
      </c>
      <c r="G27" s="270"/>
      <c r="H27" s="270" t="s">
        <v>973</v>
      </c>
    </row>
    <row r="28" ht="24.0" customHeight="1">
      <c r="A28" s="262" t="s">
        <v>229</v>
      </c>
      <c r="B28" s="272">
        <v>0.04</v>
      </c>
      <c r="C28" s="273">
        <v>0.035</v>
      </c>
      <c r="D28" s="265">
        <f t="shared" si="5"/>
        <v>0.875</v>
      </c>
      <c r="E28" s="264" t="str">
        <f t="shared" si="6"/>
        <v>⚠️ قريب</v>
      </c>
      <c r="F28" s="264" t="s">
        <v>972</v>
      </c>
      <c r="G28" s="264"/>
      <c r="H28" s="264" t="s">
        <v>974</v>
      </c>
    </row>
    <row r="29" ht="24.0" customHeight="1">
      <c r="A29" s="266" t="s">
        <v>975</v>
      </c>
      <c r="B29" s="267">
        <v>0.005</v>
      </c>
      <c r="C29" s="268">
        <v>0.003</v>
      </c>
      <c r="D29" s="269">
        <f t="shared" si="5"/>
        <v>0.6</v>
      </c>
      <c r="E29" s="270" t="str">
        <f t="shared" si="6"/>
        <v>❌ دون الهدف</v>
      </c>
      <c r="F29" s="270" t="s">
        <v>951</v>
      </c>
      <c r="G29" s="270"/>
      <c r="H29" s="270" t="s">
        <v>976</v>
      </c>
    </row>
    <row r="30" ht="24.0" customHeight="1">
      <c r="A30" s="262" t="s">
        <v>977</v>
      </c>
      <c r="B30" s="263">
        <v>30.0</v>
      </c>
      <c r="C30" s="264">
        <v>44.0</v>
      </c>
      <c r="D30" s="265">
        <f t="shared" si="5"/>
        <v>1.466666667</v>
      </c>
      <c r="E30" s="264" t="str">
        <f t="shared" si="6"/>
        <v>✅ محقق</v>
      </c>
      <c r="F30" s="264" t="s">
        <v>952</v>
      </c>
      <c r="G30" s="264"/>
      <c r="H30" s="264" t="s">
        <v>978</v>
      </c>
    </row>
    <row r="31" ht="24.0" customHeight="1">
      <c r="A31" s="266" t="s">
        <v>230</v>
      </c>
      <c r="B31" s="267">
        <v>0.025</v>
      </c>
      <c r="C31" s="268">
        <v>0.02</v>
      </c>
      <c r="D31" s="269">
        <f t="shared" si="5"/>
        <v>0.8</v>
      </c>
      <c r="E31" s="270" t="str">
        <f t="shared" si="6"/>
        <v>⚠️ قريب</v>
      </c>
      <c r="F31" s="270" t="s">
        <v>951</v>
      </c>
      <c r="G31" s="270"/>
      <c r="H31" s="270"/>
    </row>
    <row r="32" ht="24.0" customHeight="1">
      <c r="A32" s="281" t="s">
        <v>979</v>
      </c>
      <c r="B32" s="282">
        <v>5000.0</v>
      </c>
      <c r="C32" s="283">
        <v>3976.0</v>
      </c>
      <c r="D32" s="284">
        <f t="shared" si="5"/>
        <v>0.7952</v>
      </c>
      <c r="E32" s="283" t="str">
        <f t="shared" si="6"/>
        <v>⚠️ قريب</v>
      </c>
      <c r="F32" s="283" t="s">
        <v>951</v>
      </c>
      <c r="G32" s="283"/>
      <c r="H32" s="283"/>
    </row>
    <row r="33" ht="8.25" customHeight="1">
      <c r="A33" s="217"/>
      <c r="B33" s="217"/>
      <c r="C33" s="217"/>
      <c r="D33" s="217"/>
      <c r="E33" s="217"/>
      <c r="F33" s="217"/>
      <c r="G33" s="217"/>
      <c r="H33" s="217"/>
    </row>
    <row r="34" ht="32.25" customHeight="1">
      <c r="A34" s="287" t="s">
        <v>980</v>
      </c>
      <c r="B34" s="57"/>
      <c r="C34" s="57"/>
      <c r="D34" s="57"/>
      <c r="E34" s="57"/>
      <c r="F34" s="57"/>
      <c r="G34" s="57"/>
      <c r="H34" s="58"/>
    </row>
    <row r="35" ht="27.75" customHeight="1">
      <c r="A35" s="288" t="s">
        <v>214</v>
      </c>
      <c r="B35" s="288" t="s">
        <v>153</v>
      </c>
      <c r="C35" s="288" t="s">
        <v>948</v>
      </c>
      <c r="D35" s="288" t="s">
        <v>161</v>
      </c>
      <c r="E35" s="288" t="s">
        <v>216</v>
      </c>
      <c r="F35" s="288" t="s">
        <v>949</v>
      </c>
      <c r="G35" s="288" t="s">
        <v>950</v>
      </c>
      <c r="H35" s="288" t="s">
        <v>527</v>
      </c>
    </row>
    <row r="36" ht="24.0" customHeight="1">
      <c r="A36" s="262" t="s">
        <v>232</v>
      </c>
      <c r="B36" s="263">
        <v>15000.0</v>
      </c>
      <c r="C36" s="264">
        <v>13916.0</v>
      </c>
      <c r="D36" s="265">
        <f t="shared" ref="D36:D43" si="7">IF(AND(B36&lt;&gt;"",C36&lt;&gt;""),C36/B36,"")</f>
        <v>0.9277333333</v>
      </c>
      <c r="E36" s="264" t="str">
        <f t="shared" ref="E36:E43" si="8">IF(D36="","⚪",IF(D36&gt;=1,"✅ محقق",IF(D36&gt;=0.7,"⚠️ قريب","❌ دون الهدف")))</f>
        <v>⚠️ قريب</v>
      </c>
      <c r="F36" s="264" t="s">
        <v>951</v>
      </c>
      <c r="G36" s="264"/>
      <c r="H36" s="264" t="s">
        <v>981</v>
      </c>
    </row>
    <row r="37" ht="24.0" customHeight="1">
      <c r="A37" s="266" t="s">
        <v>233</v>
      </c>
      <c r="B37" s="271">
        <v>30.0</v>
      </c>
      <c r="C37" s="270">
        <v>28.0</v>
      </c>
      <c r="D37" s="269">
        <f t="shared" si="7"/>
        <v>0.9333333333</v>
      </c>
      <c r="E37" s="270" t="str">
        <f t="shared" si="8"/>
        <v>⚠️ قريب</v>
      </c>
      <c r="F37" s="270" t="s">
        <v>951</v>
      </c>
      <c r="G37" s="270"/>
      <c r="H37" s="270" t="s">
        <v>982</v>
      </c>
    </row>
    <row r="38" ht="24.0" customHeight="1">
      <c r="A38" s="262" t="s">
        <v>234</v>
      </c>
      <c r="B38" s="263">
        <v>497.0</v>
      </c>
      <c r="C38" s="264">
        <f>C36/C37</f>
        <v>497</v>
      </c>
      <c r="D38" s="265">
        <f t="shared" si="7"/>
        <v>1</v>
      </c>
      <c r="E38" s="264" t="str">
        <f t="shared" si="8"/>
        <v>✅ محقق</v>
      </c>
      <c r="F38" s="264" t="s">
        <v>951</v>
      </c>
      <c r="G38" s="264"/>
      <c r="H38" s="264" t="s">
        <v>983</v>
      </c>
    </row>
    <row r="39" ht="24.0" customHeight="1">
      <c r="A39" s="266" t="s">
        <v>235</v>
      </c>
      <c r="B39" s="267">
        <v>0.03</v>
      </c>
      <c r="C39" s="268">
        <v>0.025</v>
      </c>
      <c r="D39" s="269">
        <f t="shared" si="7"/>
        <v>0.8333333333</v>
      </c>
      <c r="E39" s="270" t="str">
        <f t="shared" si="8"/>
        <v>⚠️ قريب</v>
      </c>
      <c r="F39" s="270" t="s">
        <v>951</v>
      </c>
      <c r="G39" s="270"/>
      <c r="H39" s="270" t="s">
        <v>984</v>
      </c>
    </row>
    <row r="40" ht="24.0" customHeight="1">
      <c r="A40" s="262" t="s">
        <v>236</v>
      </c>
      <c r="B40" s="263">
        <v>1200.0</v>
      </c>
      <c r="C40" s="264">
        <v>950.0</v>
      </c>
      <c r="D40" s="265">
        <f t="shared" si="7"/>
        <v>0.7916666667</v>
      </c>
      <c r="E40" s="264" t="str">
        <f t="shared" si="8"/>
        <v>⚠️ قريب</v>
      </c>
      <c r="F40" s="264" t="s">
        <v>985</v>
      </c>
      <c r="G40" s="264"/>
      <c r="H40" s="264" t="s">
        <v>986</v>
      </c>
    </row>
    <row r="41" ht="24.0" customHeight="1">
      <c r="A41" s="266" t="s">
        <v>237</v>
      </c>
      <c r="B41" s="289">
        <v>3.0</v>
      </c>
      <c r="C41" s="290">
        <f>IFERROR((C36-2000)/2000,0)</f>
        <v>5.958</v>
      </c>
      <c r="D41" s="269">
        <f t="shared" si="7"/>
        <v>1.986</v>
      </c>
      <c r="E41" s="270" t="str">
        <f t="shared" si="8"/>
        <v>✅ محقق</v>
      </c>
      <c r="F41" s="270" t="s">
        <v>951</v>
      </c>
      <c r="G41" s="270"/>
      <c r="H41" s="270" t="s">
        <v>987</v>
      </c>
    </row>
    <row r="42" ht="24.0" customHeight="1">
      <c r="A42" s="262" t="s">
        <v>988</v>
      </c>
      <c r="B42" s="263">
        <v>8.0</v>
      </c>
      <c r="C42" s="264">
        <v>6.0</v>
      </c>
      <c r="D42" s="265">
        <f t="shared" si="7"/>
        <v>0.75</v>
      </c>
      <c r="E42" s="264" t="str">
        <f t="shared" si="8"/>
        <v>⚠️ قريب</v>
      </c>
      <c r="F42" s="264" t="s">
        <v>951</v>
      </c>
      <c r="G42" s="264"/>
      <c r="H42" s="264" t="s">
        <v>989</v>
      </c>
    </row>
    <row r="43" ht="24.0" customHeight="1">
      <c r="A43" s="274" t="s">
        <v>990</v>
      </c>
      <c r="B43" s="275">
        <v>0.03</v>
      </c>
      <c r="C43" s="276">
        <v>0.02</v>
      </c>
      <c r="D43" s="277">
        <f t="shared" si="7"/>
        <v>0.6666666667</v>
      </c>
      <c r="E43" s="278" t="str">
        <f t="shared" si="8"/>
        <v>❌ دون الهدف</v>
      </c>
      <c r="F43" s="278" t="s">
        <v>951</v>
      </c>
      <c r="G43" s="278"/>
      <c r="H43" s="278" t="s">
        <v>991</v>
      </c>
    </row>
    <row r="44" ht="8.25" customHeight="1">
      <c r="A44" s="217"/>
      <c r="B44" s="217"/>
      <c r="C44" s="217"/>
      <c r="D44" s="217"/>
      <c r="E44" s="217"/>
      <c r="F44" s="217"/>
      <c r="G44" s="217"/>
      <c r="H44" s="217"/>
    </row>
    <row r="45" ht="32.25" customHeight="1">
      <c r="A45" s="291" t="s">
        <v>992</v>
      </c>
      <c r="B45" s="57"/>
      <c r="C45" s="57"/>
      <c r="D45" s="57"/>
      <c r="E45" s="57"/>
      <c r="F45" s="57"/>
      <c r="G45" s="57"/>
      <c r="H45" s="58"/>
    </row>
    <row r="46" ht="15.75" customHeight="1">
      <c r="A46" s="292" t="s">
        <v>208</v>
      </c>
      <c r="B46" s="292" t="s">
        <v>200</v>
      </c>
      <c r="C46" s="292" t="s">
        <v>993</v>
      </c>
      <c r="D46" s="293"/>
      <c r="E46" s="293"/>
      <c r="F46" s="293"/>
      <c r="G46" s="293"/>
      <c r="H46" s="293"/>
    </row>
    <row r="47" ht="15.75" customHeight="1">
      <c r="A47" s="294" t="s">
        <v>994</v>
      </c>
      <c r="B47" s="295">
        <f>COUNTIF(D5:D12,"&gt;="&amp;1)+COUNTIF(D16:D22,"&gt;="&amp;1)+COUNTIF(D26:D32,"&gt;="&amp;1)+COUNTIF(D36:D43,"&gt;="&amp;1)</f>
        <v>12</v>
      </c>
      <c r="C47" s="296"/>
      <c r="D47" s="59"/>
      <c r="E47" s="59"/>
      <c r="F47" s="59"/>
      <c r="G47" s="59"/>
      <c r="H47" s="59"/>
    </row>
    <row r="48" ht="15.75" customHeight="1">
      <c r="A48" s="297" t="s">
        <v>995</v>
      </c>
      <c r="B48" s="298">
        <f>COUNTIFS(D5:D12,"&lt;"&amp;1,D5:D12,"&lt;&gt;")+COUNTIFS(D16:D22,"&lt;"&amp;1,D16:D22,"&lt;&gt;")+COUNTIFS(D26:D32,"&lt;"&amp;1,D26:D32,"&lt;&gt;")+COUNTIFS(D36:D43,"&lt;"&amp;1,D36:D43,"&lt;&gt;")</f>
        <v>18</v>
      </c>
      <c r="C48" s="299"/>
      <c r="D48" s="59"/>
      <c r="E48" s="59"/>
      <c r="F48" s="59"/>
      <c r="G48" s="59"/>
      <c r="H48" s="59"/>
    </row>
    <row r="49" ht="15.75" customHeight="1">
      <c r="A49" s="294" t="s">
        <v>996</v>
      </c>
      <c r="B49" s="295">
        <f>IFERROR(AVERAGE(D5:D12,D16:D22,D26:D32,D36:D43),"")</f>
        <v>1.00620143</v>
      </c>
      <c r="C49" s="296"/>
      <c r="D49" s="59"/>
      <c r="E49" s="59"/>
      <c r="F49" s="59"/>
      <c r="G49" s="59"/>
      <c r="H49" s="59"/>
    </row>
    <row r="50" ht="15.75" customHeight="1">
      <c r="A50" s="300" t="s">
        <v>997</v>
      </c>
      <c r="B50" s="301">
        <f>COUNTIFS(D5:D12,"&lt;"&amp;0.5,D5:D12,"&lt;&gt;")+COUNTIFS(D16:D22,"&lt;"&amp;0.5,D16:D22,"&lt;&gt;")+COUNTIFS(D26:D32,"&lt;"&amp;0.5,D26:D32,"&lt;&gt;")+COUNTIFS(D36:D43,"&lt;"&amp;0.5,D36:D43,"&lt;&gt;")</f>
        <v>0</v>
      </c>
      <c r="C50" s="302"/>
      <c r="D50" s="59"/>
      <c r="E50" s="59"/>
      <c r="F50" s="59"/>
      <c r="G50" s="59"/>
      <c r="H50" s="59"/>
    </row>
    <row r="51" ht="15.75" customHeight="1">
      <c r="A51" s="59"/>
      <c r="B51" s="59"/>
      <c r="C51" s="59"/>
      <c r="D51" s="59"/>
      <c r="E51" s="59"/>
      <c r="F51" s="59"/>
      <c r="G51" s="59"/>
      <c r="H51" s="59"/>
    </row>
    <row r="52" ht="15.75" customHeight="1">
      <c r="A52" s="59"/>
      <c r="B52" s="59"/>
      <c r="C52" s="59"/>
      <c r="D52" s="59"/>
      <c r="E52" s="59"/>
      <c r="F52" s="59"/>
      <c r="G52" s="59"/>
      <c r="H52" s="59"/>
    </row>
    <row r="53" ht="15.75" customHeight="1">
      <c r="A53" s="59"/>
      <c r="B53" s="59"/>
      <c r="C53" s="59"/>
      <c r="D53" s="59"/>
      <c r="E53" s="59"/>
      <c r="F53" s="59"/>
      <c r="G53" s="59"/>
      <c r="H53" s="59"/>
    </row>
    <row r="54" ht="15.75" customHeight="1">
      <c r="A54" s="59"/>
      <c r="B54" s="59"/>
      <c r="C54" s="59"/>
      <c r="D54" s="59"/>
      <c r="E54" s="59"/>
      <c r="F54" s="59"/>
      <c r="G54" s="59"/>
      <c r="H54" s="59"/>
    </row>
    <row r="55" ht="15.75" customHeight="1">
      <c r="A55" s="59"/>
      <c r="B55" s="59"/>
      <c r="C55" s="59"/>
      <c r="D55" s="59"/>
      <c r="E55" s="59"/>
      <c r="F55" s="59"/>
      <c r="G55" s="59"/>
      <c r="H55" s="59"/>
    </row>
    <row r="56" ht="15.75" customHeight="1">
      <c r="A56" s="59"/>
      <c r="B56" s="59"/>
      <c r="C56" s="59"/>
      <c r="D56" s="59"/>
      <c r="E56" s="59"/>
      <c r="F56" s="59"/>
      <c r="G56" s="59"/>
      <c r="H56" s="59"/>
    </row>
    <row r="57" ht="15.75" customHeight="1">
      <c r="A57" s="59"/>
      <c r="B57" s="59"/>
      <c r="C57" s="59"/>
      <c r="D57" s="59"/>
      <c r="E57" s="59"/>
      <c r="F57" s="59"/>
      <c r="G57" s="59"/>
      <c r="H57" s="59"/>
    </row>
    <row r="58" ht="15.75" customHeight="1">
      <c r="A58" s="59"/>
      <c r="B58" s="59"/>
      <c r="C58" s="59"/>
      <c r="D58" s="59"/>
      <c r="E58" s="59"/>
      <c r="F58" s="59"/>
      <c r="G58" s="59"/>
      <c r="H58" s="59"/>
    </row>
    <row r="59" ht="15.75" customHeight="1">
      <c r="A59" s="59"/>
      <c r="B59" s="59"/>
      <c r="C59" s="59"/>
      <c r="D59" s="59"/>
      <c r="E59" s="59"/>
      <c r="F59" s="59"/>
      <c r="G59" s="59"/>
      <c r="H59" s="59"/>
    </row>
    <row r="60" ht="15.75" customHeight="1">
      <c r="A60" s="59"/>
      <c r="B60" s="59"/>
      <c r="C60" s="59"/>
      <c r="D60" s="59"/>
      <c r="E60" s="59"/>
      <c r="F60" s="59"/>
      <c r="G60" s="59"/>
      <c r="H60" s="59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A3:H3"/>
    <mergeCell ref="A14:H14"/>
    <mergeCell ref="A24:H24"/>
    <mergeCell ref="A34:H34"/>
    <mergeCell ref="A45:H45"/>
  </mergeCells>
  <conditionalFormatting sqref="D5:D12">
    <cfRule type="cellIs" dxfId="0" priority="1" operator="greaterThanOrEqual">
      <formula>1</formula>
    </cfRule>
  </conditionalFormatting>
  <conditionalFormatting sqref="D5:D12">
    <cfRule type="cellIs" dxfId="1" priority="2" operator="between">
      <formula>0.7</formula>
      <formula>0.999</formula>
    </cfRule>
  </conditionalFormatting>
  <conditionalFormatting sqref="D5:D12">
    <cfRule type="cellIs" dxfId="2" priority="3" operator="between">
      <formula>0</formula>
      <formula>0.699</formula>
    </cfRule>
  </conditionalFormatting>
  <conditionalFormatting sqref="D16:D22">
    <cfRule type="cellIs" dxfId="0" priority="4" operator="greaterThanOrEqual">
      <formula>1</formula>
    </cfRule>
  </conditionalFormatting>
  <conditionalFormatting sqref="D16:D22">
    <cfRule type="cellIs" dxfId="1" priority="5" operator="between">
      <formula>0.7</formula>
      <formula>0.999</formula>
    </cfRule>
  </conditionalFormatting>
  <conditionalFormatting sqref="D16:D22">
    <cfRule type="cellIs" dxfId="2" priority="6" operator="between">
      <formula>0</formula>
      <formula>0.699</formula>
    </cfRule>
  </conditionalFormatting>
  <conditionalFormatting sqref="D26:D32">
    <cfRule type="cellIs" dxfId="0" priority="7" operator="greaterThanOrEqual">
      <formula>1</formula>
    </cfRule>
  </conditionalFormatting>
  <conditionalFormatting sqref="D26:D32">
    <cfRule type="cellIs" dxfId="1" priority="8" operator="between">
      <formula>0.7</formula>
      <formula>0.999</formula>
    </cfRule>
  </conditionalFormatting>
  <conditionalFormatting sqref="D26:D32">
    <cfRule type="cellIs" dxfId="2" priority="9" operator="between">
      <formula>0</formula>
      <formula>0.699</formula>
    </cfRule>
  </conditionalFormatting>
  <conditionalFormatting sqref="D36:D43">
    <cfRule type="cellIs" dxfId="0" priority="10" operator="greaterThanOrEqual">
      <formula>1</formula>
    </cfRule>
  </conditionalFormatting>
  <conditionalFormatting sqref="D36:D43">
    <cfRule type="cellIs" dxfId="1" priority="11" operator="between">
      <formula>0.7</formula>
      <formula>0.999</formula>
    </cfRule>
  </conditionalFormatting>
  <conditionalFormatting sqref="D36:D43">
    <cfRule type="cellIs" dxfId="2" priority="12" operator="between">
      <formula>0</formula>
      <formula>0.699</formula>
    </cfRule>
  </conditionalFormatting>
  <conditionalFormatting sqref="D5:D12">
    <cfRule type="cellIs" dxfId="5" priority="13" operator="greaterThanOrEqual">
      <formula>1</formula>
    </cfRule>
  </conditionalFormatting>
  <conditionalFormatting sqref="D5:D12">
    <cfRule type="cellIs" dxfId="6" priority="14" operator="between">
      <formula>0.7</formula>
      <formula>1</formula>
    </cfRule>
  </conditionalFormatting>
  <conditionalFormatting sqref="D5:D12">
    <cfRule type="cellIs" dxfId="2" priority="15" operator="lessThan">
      <formula>0.7</formula>
    </cfRule>
  </conditionalFormatting>
  <conditionalFormatting sqref="D16:D22">
    <cfRule type="cellIs" dxfId="5" priority="16" operator="greaterThanOrEqual">
      <formula>1</formula>
    </cfRule>
  </conditionalFormatting>
  <conditionalFormatting sqref="D16:D22">
    <cfRule type="cellIs" dxfId="6" priority="17" operator="between">
      <formula>0.7</formula>
      <formula>1</formula>
    </cfRule>
  </conditionalFormatting>
  <conditionalFormatting sqref="D16:D22">
    <cfRule type="cellIs" dxfId="2" priority="18" operator="lessThan">
      <formula>0.7</formula>
    </cfRule>
  </conditionalFormatting>
  <conditionalFormatting sqref="D26:D32">
    <cfRule type="cellIs" dxfId="5" priority="19" operator="greaterThanOrEqual">
      <formula>1</formula>
    </cfRule>
  </conditionalFormatting>
  <conditionalFormatting sqref="D26:D32">
    <cfRule type="cellIs" dxfId="6" priority="20" operator="between">
      <formula>0.7</formula>
      <formula>1</formula>
    </cfRule>
  </conditionalFormatting>
  <conditionalFormatting sqref="D26:D32">
    <cfRule type="cellIs" dxfId="2" priority="21" operator="lessThan">
      <formula>0.7</formula>
    </cfRule>
  </conditionalFormatting>
  <conditionalFormatting sqref="D36:D43">
    <cfRule type="cellIs" dxfId="5" priority="22" operator="greaterThanOrEqual">
      <formula>1</formula>
    </cfRule>
  </conditionalFormatting>
  <conditionalFormatting sqref="D36:D43">
    <cfRule type="cellIs" dxfId="6" priority="23" operator="between">
      <formula>0.7</formula>
      <formula>1</formula>
    </cfRule>
  </conditionalFormatting>
  <conditionalFormatting sqref="D36:D43">
    <cfRule type="cellIs" dxfId="2" priority="24" operator="lessThan">
      <formula>0.7</formula>
    </cfRule>
  </conditionalFormatting>
  <printOptions/>
  <pageMargins bottom="0.75" footer="0.0" header="0.0" left="0.7" right="0.7" top="0.75"/>
  <pageSetup orientation="landscape"/>
  <drawing r:id="rId1"/>
</worksheet>
</file>